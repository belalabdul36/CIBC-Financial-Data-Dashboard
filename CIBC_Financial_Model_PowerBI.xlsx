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Income Statement" sheetId="2" state="visible" r:id="rId4"/>
    <sheet name="Cash Flows" sheetId="3" state="visible" r:id="rId5"/>
    <sheet name="Key Ratios" sheetId="4" state="visible" r:id="rId6"/>
    <sheet name="Segments" sheetId="5" state="visible" r:id="rId7"/>
    <sheet name="Geography" sheetId="6" state="visible" r:id="rId8"/>
    <sheet name="Loan Portfolio" sheetId="7" state="visible" r:id="rId9"/>
    <sheet name="Deposits" sheetId="8" state="visible" r:id="rId10"/>
    <sheet name="Capital" sheetId="9" state="visible" r:id="rId11"/>
    <sheet name="Changes in Equ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<sst xmlns="http://schemas.openxmlformats.org/spreadsheetml/2006/main" count="333" uniqueCount="252">
  <si>
    <t xml:space="preserve">CANADIAN IMPERIAL BANK OF COMMERCE</t>
  </si>
  <si>
    <t xml:space="preserve">CIBC 2025 Annual Report</t>
  </si>
  <si>
    <t xml:space="preserve">Consolidated Balance Sheet</t>
  </si>
  <si>
    <t xml:space="preserve">($ millions, as at October 31)</t>
  </si>
  <si>
    <t xml:space="preserve">2025</t>
  </si>
  <si>
    <t xml:space="preserve">2024</t>
  </si>
  <si>
    <t xml:space="preserve">YoY Change</t>
  </si>
  <si>
    <t xml:space="preserve">ASSETS</t>
  </si>
  <si>
    <t xml:space="preserve">Cash and non-interest-bearing deposits with banks</t>
  </si>
  <si>
    <t xml:space="preserve">Interest-bearing deposits with banks</t>
  </si>
  <si>
    <t xml:space="preserve">Securities</t>
  </si>
  <si>
    <t xml:space="preserve">Cash collateral on securities borrowed</t>
  </si>
  <si>
    <t xml:space="preserve">Securities purchased under resale agreements</t>
  </si>
  <si>
    <t xml:space="preserve">Loans</t>
  </si>
  <si>
    <t xml:space="preserve">  Residential mortgages</t>
  </si>
  <si>
    <t xml:space="preserve">  Personal</t>
  </si>
  <si>
    <t xml:space="preserve">  Credit card</t>
  </si>
  <si>
    <t xml:space="preserve">  Business and government</t>
  </si>
  <si>
    <t xml:space="preserve">  Allowance for credit losses</t>
  </si>
  <si>
    <t xml:space="preserve">Total net loans</t>
  </si>
  <si>
    <t xml:space="preserve">Other Assets</t>
  </si>
  <si>
    <t xml:space="preserve">  Derivative instruments</t>
  </si>
  <si>
    <t xml:space="preserve">  Property and equipment</t>
  </si>
  <si>
    <t xml:space="preserve">  Goodwill</t>
  </si>
  <si>
    <t xml:space="preserve">  Software and other intangible assets</t>
  </si>
  <si>
    <t xml:space="preserve">  Investments in equity-accounted associates and JVs</t>
  </si>
  <si>
    <t xml:space="preserve">  Deferred tax assets</t>
  </si>
  <si>
    <t xml:space="preserve">  Other assets</t>
  </si>
  <si>
    <t xml:space="preserve">Total other assets</t>
  </si>
  <si>
    <t xml:space="preserve">TOTAL ASSETS</t>
  </si>
  <si>
    <t xml:space="preserve">LIABILITIES AND EQUITY</t>
  </si>
  <si>
    <t xml:space="preserve">Deposits</t>
  </si>
  <si>
    <t xml:space="preserve">  Bank</t>
  </si>
  <si>
    <t xml:space="preserve">  Secured borrowings</t>
  </si>
  <si>
    <t xml:space="preserve">Total deposits</t>
  </si>
  <si>
    <t xml:space="preserve">Obligations related to securities sold short</t>
  </si>
  <si>
    <t xml:space="preserve">Cash collateral on securities lent</t>
  </si>
  <si>
    <t xml:space="preserve">Obligations related to securities sold under repo agreements</t>
  </si>
  <si>
    <t xml:space="preserve">Other Liabilities</t>
  </si>
  <si>
    <t xml:space="preserve">  Deferred tax liabilities</t>
  </si>
  <si>
    <t xml:space="preserve">  Other liabilities</t>
  </si>
  <si>
    <t xml:space="preserve">Total other liabilities</t>
  </si>
  <si>
    <t xml:space="preserve">Subordinated indebtedness</t>
  </si>
  <si>
    <t xml:space="preserve">TOTAL LIABILITIES</t>
  </si>
  <si>
    <t xml:space="preserve">Equity</t>
  </si>
  <si>
    <t xml:space="preserve">  Preferred shares and other equity instruments</t>
  </si>
  <si>
    <t xml:space="preserve">  Common shares</t>
  </si>
  <si>
    <t xml:space="preserve">  Contributed surplus</t>
  </si>
  <si>
    <t xml:space="preserve">  Retained earnings</t>
  </si>
  <si>
    <t xml:space="preserve">  Accumulated other comprehensive income (AOCI)</t>
  </si>
  <si>
    <t xml:space="preserve">Total shareholders' equity</t>
  </si>
  <si>
    <t xml:space="preserve">Non-controlling interests</t>
  </si>
  <si>
    <t xml:space="preserve">TOTAL EQUITY</t>
  </si>
  <si>
    <t xml:space="preserve">TOTAL LIABILITIES AND EQUITY</t>
  </si>
  <si>
    <t xml:space="preserve">Consolidated Statement of Income</t>
  </si>
  <si>
    <t xml:space="preserve">($ millions, for the year ended October 31)</t>
  </si>
  <si>
    <t xml:space="preserve">INTEREST INCOME</t>
  </si>
  <si>
    <t xml:space="preserve">  Loans</t>
  </si>
  <si>
    <t xml:space="preserve">  Securities</t>
  </si>
  <si>
    <t xml:space="preserve">  Securities borrowed or purchased under resale agreements</t>
  </si>
  <si>
    <t xml:space="preserve">  Deposits with banks and other</t>
  </si>
  <si>
    <t xml:space="preserve">Total interest income</t>
  </si>
  <si>
    <t xml:space="preserve">INTEREST EXPENSE</t>
  </si>
  <si>
    <t xml:space="preserve">  Deposits</t>
  </si>
  <si>
    <t xml:space="preserve">  Securities sold short</t>
  </si>
  <si>
    <t xml:space="preserve">  Securities lent or sold under repurchase agreements</t>
  </si>
  <si>
    <t xml:space="preserve">  Subordinated indebtedness</t>
  </si>
  <si>
    <t xml:space="preserve">  Other</t>
  </si>
  <si>
    <t xml:space="preserve">Total interest expense</t>
  </si>
  <si>
    <t xml:space="preserve">NET INTEREST INCOME</t>
  </si>
  <si>
    <t xml:space="preserve">NON-INTEREST INCOME</t>
  </si>
  <si>
    <t xml:space="preserve">  Underwriting and advisory fees</t>
  </si>
  <si>
    <t xml:space="preserve">  Deposit and payment fees</t>
  </si>
  <si>
    <t xml:space="preserve">  Credit fees</t>
  </si>
  <si>
    <t xml:space="preserve">  Card fees</t>
  </si>
  <si>
    <t xml:space="preserve">  Investment management and custodial fees</t>
  </si>
  <si>
    <t xml:space="preserve">  Mutual fund fees</t>
  </si>
  <si>
    <t xml:space="preserve">  Income from insurance activities, net</t>
  </si>
  <si>
    <t xml:space="preserve">  Commissions on securities transactions</t>
  </si>
  <si>
    <t xml:space="preserve">  Gains (losses) from instruments at FVTPL, net</t>
  </si>
  <si>
    <t xml:space="preserve">  Gains (losses) from debt securities at FVOCI &amp; amort. cost</t>
  </si>
  <si>
    <t xml:space="preserve">  Foreign exchange other than trading</t>
  </si>
  <si>
    <t xml:space="preserve">  Income from equity-accounted associates and JVs</t>
  </si>
  <si>
    <t xml:space="preserve">Total non-interest income</t>
  </si>
  <si>
    <t xml:space="preserve">TOTAL REVENUE</t>
  </si>
  <si>
    <t xml:space="preserve">Provision for credit losses</t>
  </si>
  <si>
    <t xml:space="preserve">NON-INTEREST EXPENSES</t>
  </si>
  <si>
    <t xml:space="preserve">  Employee compensation and benefits</t>
  </si>
  <si>
    <t xml:space="preserve">  Occupancy costs</t>
  </si>
  <si>
    <t xml:space="preserve">  Computer, software and office equipment</t>
  </si>
  <si>
    <t xml:space="preserve">  Communications</t>
  </si>
  <si>
    <t xml:space="preserve">  Advertising and business development</t>
  </si>
  <si>
    <t xml:space="preserve">  Professional fees</t>
  </si>
  <si>
    <t xml:space="preserve">  Business and capital taxes</t>
  </si>
  <si>
    <t xml:space="preserve">Total non-interest expenses</t>
  </si>
  <si>
    <t xml:space="preserve">INCOME BEFORE INCOME TAXES</t>
  </si>
  <si>
    <t xml:space="preserve">Income taxes</t>
  </si>
  <si>
    <t xml:space="preserve">NET INCOME</t>
  </si>
  <si>
    <t xml:space="preserve">Net income attributable to:</t>
  </si>
  <si>
    <t xml:space="preserve">  Non-controlling interests</t>
  </si>
  <si>
    <t xml:space="preserve">  Preferred shareholders and other equity instrument holders</t>
  </si>
  <si>
    <t xml:space="preserve">  Common shareholders</t>
  </si>
  <si>
    <t xml:space="preserve">Net income attributable to equity shareholders</t>
  </si>
  <si>
    <t xml:space="preserve">Basic EPS ($)</t>
  </si>
  <si>
    <t xml:space="preserve">Diluted EPS ($)</t>
  </si>
  <si>
    <t xml:space="preserve">Dividends per common share ($)</t>
  </si>
  <si>
    <t xml:space="preserve">Consolidated Statement of Cash Flows</t>
  </si>
  <si>
    <t xml:space="preserve">OPERATING ACTIVITIES</t>
  </si>
  <si>
    <t xml:space="preserve">Net income</t>
  </si>
  <si>
    <t xml:space="preserve">Amortization and impairment</t>
  </si>
  <si>
    <t xml:space="preserve">Deferred income taxes</t>
  </si>
  <si>
    <t xml:space="preserve">Net changes in operating assets and liabilities:</t>
  </si>
  <si>
    <t xml:space="preserve">  Interest-bearing deposits with banks</t>
  </si>
  <si>
    <t xml:space="preserve">  Loans, net of repayments</t>
  </si>
  <si>
    <t xml:space="preserve">  Deposits, net of withdrawals</t>
  </si>
  <si>
    <t xml:space="preserve">  Derivative assets</t>
  </si>
  <si>
    <t xml:space="preserve">  Derivative liabilities</t>
  </si>
  <si>
    <t xml:space="preserve">  Securities measured at FVTPL</t>
  </si>
  <si>
    <t xml:space="preserve">  Obligations related to securities sold under repo</t>
  </si>
  <si>
    <t xml:space="preserve">  Other, net</t>
  </si>
  <si>
    <t xml:space="preserve">Net cash from operating activities</t>
  </si>
  <si>
    <t xml:space="preserve">FINANCING ACTIVITIES</t>
  </si>
  <si>
    <t xml:space="preserve">Issue of subordinated indebtedness</t>
  </si>
  <si>
    <t xml:space="preserve">Redemption/repurchase of subordinated indebtedness</t>
  </si>
  <si>
    <t xml:space="preserve">Issue of preferred shares and LRCNs</t>
  </si>
  <si>
    <t xml:space="preserve">Redemption of preferred shares and LRCNs</t>
  </si>
  <si>
    <t xml:space="preserve">Issue of common shares for cash</t>
  </si>
  <si>
    <t xml:space="preserve">Purchase of common shares for cancellation</t>
  </si>
  <si>
    <t xml:space="preserve">Dividends and distributions paid</t>
  </si>
  <si>
    <t xml:space="preserve">Repayment of lease liabilities</t>
  </si>
  <si>
    <t xml:space="preserve">Other, net</t>
  </si>
  <si>
    <t xml:space="preserve">Net cash from financing activities</t>
  </si>
  <si>
    <t xml:space="preserve">INVESTING ACTIVITIES</t>
  </si>
  <si>
    <t xml:space="preserve">Purchase of securities at FVOCI and amortized cost</t>
  </si>
  <si>
    <t xml:space="preserve">Proceeds from sale of securities at FVOCI/amort. cost</t>
  </si>
  <si>
    <t xml:space="preserve">Proceeds from maturity of debt securities</t>
  </si>
  <si>
    <t xml:space="preserve">Net sale (purchase) of property, equipment, software</t>
  </si>
  <si>
    <t xml:space="preserve">Net cash from investing activities</t>
  </si>
  <si>
    <t xml:space="preserve">Effect of exchange rate changes</t>
  </si>
  <si>
    <t xml:space="preserve">Net increase (decrease) in cash</t>
  </si>
  <si>
    <t xml:space="preserve">Cash at beginning of year</t>
  </si>
  <si>
    <t xml:space="preserve">Cash at end of year</t>
  </si>
  <si>
    <t xml:space="preserve">SUPPLEMENTAL INFORMATION</t>
  </si>
  <si>
    <t xml:space="preserve">Cash interest paid</t>
  </si>
  <si>
    <t xml:space="preserve">Cash interest received</t>
  </si>
  <si>
    <t xml:space="preserve">Cash dividends received</t>
  </si>
  <si>
    <t xml:space="preserve">Cash income taxes paid</t>
  </si>
  <si>
    <t xml:space="preserve">Key Financial Ratios &amp; KPIs</t>
  </si>
  <si>
    <t xml:space="preserve">Metric</t>
  </si>
  <si>
    <t xml:space="preserve">Change</t>
  </si>
  <si>
    <t xml:space="preserve">PROFITABILITY</t>
  </si>
  <si>
    <t xml:space="preserve">Net Income ($M)</t>
  </si>
  <si>
    <t xml:space="preserve">Total Revenue ($M)</t>
  </si>
  <si>
    <t xml:space="preserve">Net Interest Income ($M)</t>
  </si>
  <si>
    <t xml:space="preserve">Non-Interest Income ($M)</t>
  </si>
  <si>
    <t xml:space="preserve">Dividends per Share ($)</t>
  </si>
  <si>
    <t xml:space="preserve">EFFICIENCY &amp; MARGINS</t>
  </si>
  <si>
    <t xml:space="preserve">Net Interest Margin (NII / Avg Assets)</t>
  </si>
  <si>
    <t xml:space="preserve">Efficiency Ratio (NIE / Revenue)</t>
  </si>
  <si>
    <t xml:space="preserve">Provision for Credit Losses ($M)</t>
  </si>
  <si>
    <t xml:space="preserve">PCL / Total Loans</t>
  </si>
  <si>
    <t xml:space="preserve">Effective Tax Rate</t>
  </si>
  <si>
    <t xml:space="preserve">CAPITAL &amp; LEVERAGE</t>
  </si>
  <si>
    <t xml:space="preserve">CET1 Capital ($M)</t>
  </si>
  <si>
    <t xml:space="preserve">Tier 1 Capital ($M)</t>
  </si>
  <si>
    <t xml:space="preserve">Total Capital ($M)</t>
  </si>
  <si>
    <t xml:space="preserve">Total RWA ($M)</t>
  </si>
  <si>
    <t xml:space="preserve">CET1 Ratio</t>
  </si>
  <si>
    <t xml:space="preserve">Tier 1 Capital Ratio</t>
  </si>
  <si>
    <t xml:space="preserve">Total Capital Ratio</t>
  </si>
  <si>
    <t xml:space="preserve">Leverage Ratio</t>
  </si>
  <si>
    <t xml:space="preserve">TLAC Ratio</t>
  </si>
  <si>
    <t xml:space="preserve">BALANCE SHEET COMPOSITION</t>
  </si>
  <si>
    <t xml:space="preserve">Total Assets ($M)</t>
  </si>
  <si>
    <t xml:space="preserve">Total Loans (Gross, $M)</t>
  </si>
  <si>
    <t xml:space="preserve">Total Deposits ($M)</t>
  </si>
  <si>
    <t xml:space="preserve">Total Equity ($M)</t>
  </si>
  <si>
    <t xml:space="preserve">Loan-to-Deposit Ratio</t>
  </si>
  <si>
    <t xml:space="preserve">CREDIT QUALITY</t>
  </si>
  <si>
    <t xml:space="preserve">Allowance for Credit Losses ($M)</t>
  </si>
  <si>
    <t xml:space="preserve">Stage 3 ECL ($M)</t>
  </si>
  <si>
    <t xml:space="preserve">Total ECL ($M)</t>
  </si>
  <si>
    <t xml:space="preserve">ACL as % of Gross Loans</t>
  </si>
  <si>
    <t xml:space="preserve">Gross Impaired Loans - Residential Mortgages ($M)</t>
  </si>
  <si>
    <t xml:space="preserve">Gross Impaired Loans - Personal ($M)</t>
  </si>
  <si>
    <t xml:space="preserve">Gross Impaired Loans - Business &amp; Govt ($M)</t>
  </si>
  <si>
    <t xml:space="preserve">Segmented Information (Power BI Ready)</t>
  </si>
  <si>
    <t xml:space="preserve">Year</t>
  </si>
  <si>
    <t xml:space="preserve">Segment</t>
  </si>
  <si>
    <t xml:space="preserve">Total Revenue</t>
  </si>
  <si>
    <t xml:space="preserve">PCL</t>
  </si>
  <si>
    <t xml:space="preserve">Net Income</t>
  </si>
  <si>
    <t xml:space="preserve">Average Assets</t>
  </si>
  <si>
    <t xml:space="preserve">NIE</t>
  </si>
  <si>
    <t xml:space="preserve">Canadian Personal and Business Banking</t>
  </si>
  <si>
    <t xml:space="preserve">Canadian Commercial Banking and Wealth Management</t>
  </si>
  <si>
    <t xml:space="preserve">U.S. Commercial Banking and Wealth Management</t>
  </si>
  <si>
    <t xml:space="preserve">Capital Markets</t>
  </si>
  <si>
    <t xml:space="preserve">Corporate and Other</t>
  </si>
  <si>
    <t xml:space="preserve">Geographic Information (Power BI Ready)</t>
  </si>
  <si>
    <t xml:space="preserve">Region</t>
  </si>
  <si>
    <t xml:space="preserve">Income Taxes</t>
  </si>
  <si>
    <t xml:space="preserve">Canada</t>
  </si>
  <si>
    <t xml:space="preserve">U.S.</t>
  </si>
  <si>
    <t xml:space="preserve">Caribbean</t>
  </si>
  <si>
    <t xml:space="preserve">Other Countries</t>
  </si>
  <si>
    <t xml:space="preserve">Loan Portfolio by Stage (Power BI Ready)</t>
  </si>
  <si>
    <t xml:space="preserve">Loan Type</t>
  </si>
  <si>
    <t xml:space="preserve">Gross Amount</t>
  </si>
  <si>
    <t xml:space="preserve">Stage 1</t>
  </si>
  <si>
    <t xml:space="preserve">Stage 2</t>
  </si>
  <si>
    <t xml:space="preserve">Stage 3</t>
  </si>
  <si>
    <t xml:space="preserve">Total ACL</t>
  </si>
  <si>
    <t xml:space="preserve">ACL %</t>
  </si>
  <si>
    <t xml:space="preserve">Residential Mortgages</t>
  </si>
  <si>
    <t xml:space="preserve">Personal</t>
  </si>
  <si>
    <t xml:space="preserve">Credit Card</t>
  </si>
  <si>
    <t xml:space="preserve">Business and Government</t>
  </si>
  <si>
    <t xml:space="preserve">Deposit Breakdown (Power BI Ready)</t>
  </si>
  <si>
    <t xml:space="preserve">Deposit Type</t>
  </si>
  <si>
    <t xml:space="preserve">Payable on Demand</t>
  </si>
  <si>
    <t xml:space="preserve">Payable After Notice</t>
  </si>
  <si>
    <t xml:space="preserve">Payable Fixed Date</t>
  </si>
  <si>
    <t xml:space="preserve">Total</t>
  </si>
  <si>
    <t xml:space="preserve">Bank</t>
  </si>
  <si>
    <t xml:space="preserve">Secured Borrowings</t>
  </si>
  <si>
    <t xml:space="preserve">Capital Adequacy &amp; Regulatory Ratios</t>
  </si>
  <si>
    <t xml:space="preserve">Regulatory Minimum</t>
  </si>
  <si>
    <t xml:space="preserve">CAPITAL COMPOSITION</t>
  </si>
  <si>
    <t xml:space="preserve">CET1 Capital</t>
  </si>
  <si>
    <t xml:space="preserve">Tier 1 Capital</t>
  </si>
  <si>
    <t xml:space="preserve">Total Capital</t>
  </si>
  <si>
    <t xml:space="preserve">Total RWA</t>
  </si>
  <si>
    <t xml:space="preserve">CAPITAL RATIOS</t>
  </si>
  <si>
    <t xml:space="preserve">LEVERAGE</t>
  </si>
  <si>
    <t xml:space="preserve">Leverage Ratio Exposure</t>
  </si>
  <si>
    <t xml:space="preserve">TLAC</t>
  </si>
  <si>
    <t xml:space="preserve">TLAC Available</t>
  </si>
  <si>
    <t xml:space="preserve">TLAC Leverage Ratio</t>
  </si>
  <si>
    <t xml:space="preserve">Consolidated Statement of Changes in Equity</t>
  </si>
  <si>
    <t xml:space="preserve">PREFERRED SHARES &amp; OTHER EQUITY</t>
  </si>
  <si>
    <t xml:space="preserve">Balance at beginning of year</t>
  </si>
  <si>
    <t xml:space="preserve">Treasury shares</t>
  </si>
  <si>
    <t xml:space="preserve">Balance at end of year</t>
  </si>
  <si>
    <t xml:space="preserve">COMMON SHARES</t>
  </si>
  <si>
    <t xml:space="preserve">Issue of common shares</t>
  </si>
  <si>
    <t xml:space="preserve">RETAINED EARNINGS</t>
  </si>
  <si>
    <t xml:space="preserve">Dividends - preferred and other equity instruments</t>
  </si>
  <si>
    <t xml:space="preserve">Dividends - common</t>
  </si>
  <si>
    <t xml:space="preserve">Premium on purchase of common shares for cancellation</t>
  </si>
  <si>
    <t xml:space="preserve">Other</t>
  </si>
  <si>
    <t xml:space="preserve">TOTAL AOCI (net of tax)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</si>
</sst>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\$#,##0.00"/>
    <numFmt numFmtId="168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E0E2D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4"/>
      <color rgb="FFCE0E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E0E2D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E0E2D"/>
        <bgColor rgb="FF993300"/>
      </patternFill>
    </fill>
    <fill>
      <patternFill patternType="solid">
        <fgColor rgb="FFF8D7DA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F8D7DA"/>
      </patternFill>
    </fill>
    <fill>
      <patternFill patternType="solid">
        <fgColor rgb="FFFFF3C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E0E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0E2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D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</v>
      </c>
      <c r="B3" s="4"/>
      <c r="C3" s="4"/>
      <c r="D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</row>
    <row r="7" customFormat="false" ht="15" hidden="false" customHeight="true" outlineLevel="0" collapsed="false">
      <c r="A7" s="7" t="s">
        <v>8</v>
      </c>
      <c r="B7" s="8" t="n">
        <v>12379</v>
      </c>
      <c r="C7" s="8" t="n">
        <v>8565</v>
      </c>
      <c r="D7" s="9" t="n">
        <f aca="false">IF(C7=0,"-",B7/C7-1)</f>
        <v>0.445300642148278</v>
      </c>
    </row>
    <row r="8" customFormat="false" ht="15" hidden="false" customHeight="true" outlineLevel="0" collapsed="false">
      <c r="A8" s="7" t="s">
        <v>9</v>
      </c>
      <c r="B8" s="10" t="n">
        <v>31624</v>
      </c>
      <c r="C8" s="10" t="n">
        <v>39499</v>
      </c>
      <c r="D8" s="11" t="n">
        <f aca="false">IF(C8=0,"-",B8/C8-1)</f>
        <v>-0.199372136003443</v>
      </c>
    </row>
    <row r="9" customFormat="false" ht="15" hidden="false" customHeight="true" outlineLevel="0" collapsed="false">
      <c r="A9" s="7" t="s">
        <v>10</v>
      </c>
      <c r="B9" s="8" t="n">
        <v>283235</v>
      </c>
      <c r="C9" s="8" t="n">
        <v>254345</v>
      </c>
      <c r="D9" s="9" t="n">
        <f aca="false">IF(C9=0,"-",B9/C9-1)</f>
        <v>0.11358587744992</v>
      </c>
    </row>
    <row r="10" customFormat="false" ht="15" hidden="false" customHeight="true" outlineLevel="0" collapsed="false">
      <c r="A10" s="7" t="s">
        <v>11</v>
      </c>
      <c r="B10" s="10" t="n">
        <v>21697</v>
      </c>
      <c r="C10" s="10" t="n">
        <v>17028</v>
      </c>
      <c r="D10" s="11" t="n">
        <f aca="false">IF(C10=0,"-",B10/C10-1)</f>
        <v>0.274195442800094</v>
      </c>
    </row>
    <row r="11" customFormat="false" ht="15" hidden="false" customHeight="true" outlineLevel="0" collapsed="false">
      <c r="A11" s="7" t="s">
        <v>12</v>
      </c>
      <c r="B11" s="8" t="n">
        <v>86695</v>
      </c>
      <c r="C11" s="8" t="n">
        <v>83721</v>
      </c>
      <c r="D11" s="9" t="n">
        <f aca="false">IF(C11=0,"-",B11/C11-1)</f>
        <v>0.0355227481754876</v>
      </c>
    </row>
    <row r="13" customFormat="false" ht="15" hidden="false" customHeight="true" outlineLevel="0" collapsed="false">
      <c r="A13" s="6" t="s">
        <v>13</v>
      </c>
    </row>
    <row r="14" customFormat="false" ht="15" hidden="false" customHeight="true" outlineLevel="0" collapsed="false">
      <c r="A14" s="12" t="s">
        <v>14</v>
      </c>
      <c r="B14" s="10" t="n">
        <v>287033</v>
      </c>
      <c r="C14" s="10" t="n">
        <v>280672</v>
      </c>
      <c r="D14" s="11" t="n">
        <f aca="false">IF(C14=0,"-",B14/C14-1)</f>
        <v>0.0226634648272717</v>
      </c>
    </row>
    <row r="15" customFormat="false" ht="15" hidden="false" customHeight="true" outlineLevel="0" collapsed="false">
      <c r="A15" s="12" t="s">
        <v>15</v>
      </c>
      <c r="B15" s="8" t="n">
        <v>47866</v>
      </c>
      <c r="C15" s="8" t="n">
        <v>46681</v>
      </c>
      <c r="D15" s="9" t="n">
        <f aca="false">IF(C15=0,"-",B15/C15-1)</f>
        <v>0.0253850603029069</v>
      </c>
    </row>
    <row r="16" customFormat="false" ht="15" hidden="false" customHeight="true" outlineLevel="0" collapsed="false">
      <c r="A16" s="12" t="s">
        <v>16</v>
      </c>
      <c r="B16" s="10" t="n">
        <v>21581</v>
      </c>
      <c r="C16" s="10" t="n">
        <v>20551</v>
      </c>
      <c r="D16" s="11" t="n">
        <f aca="false">IF(C16=0,"-",B16/C16-1)</f>
        <v>0.0501192156099459</v>
      </c>
    </row>
    <row r="17" customFormat="false" ht="15" hidden="false" customHeight="true" outlineLevel="0" collapsed="false">
      <c r="A17" s="12" t="s">
        <v>17</v>
      </c>
      <c r="B17" s="8" t="n">
        <v>237416</v>
      </c>
      <c r="C17" s="8" t="n">
        <v>214305</v>
      </c>
      <c r="D17" s="9" t="n">
        <f aca="false">IF(C17=0,"-",B17/C17-1)</f>
        <v>0.107841627586851</v>
      </c>
    </row>
    <row r="18" customFormat="false" ht="15" hidden="false" customHeight="true" outlineLevel="0" collapsed="false">
      <c r="A18" s="12" t="s">
        <v>18</v>
      </c>
      <c r="B18" s="10" t="n">
        <v>-4392</v>
      </c>
      <c r="C18" s="10" t="n">
        <v>-3917</v>
      </c>
      <c r="D18" s="11" t="n">
        <f aca="false">IF(C18=0,"-",B18/C18-1)</f>
        <v>0.12126627521062</v>
      </c>
    </row>
    <row r="19" customFormat="false" ht="15" hidden="false" customHeight="true" outlineLevel="0" collapsed="false">
      <c r="A19" s="13" t="s">
        <v>19</v>
      </c>
      <c r="B19" s="14" t="n">
        <v>589504</v>
      </c>
      <c r="C19" s="14" t="n">
        <v>558292</v>
      </c>
      <c r="D19" s="15" t="n">
        <f aca="false">IF(C19=0,"-",B19/C19-1)</f>
        <v>0.0559062282819742</v>
      </c>
    </row>
    <row r="21" customFormat="false" ht="15" hidden="false" customHeight="true" outlineLevel="0" collapsed="false">
      <c r="A21" s="6" t="s">
        <v>20</v>
      </c>
    </row>
    <row r="22" customFormat="false" ht="15" hidden="false" customHeight="true" outlineLevel="0" collapsed="false">
      <c r="A22" s="12" t="s">
        <v>21</v>
      </c>
      <c r="B22" s="10" t="n">
        <v>38352</v>
      </c>
      <c r="C22" s="10" t="n">
        <v>36435</v>
      </c>
      <c r="D22" s="11" t="n">
        <f aca="false">IF(C22=0,"-",B22/C22-1)</f>
        <v>0.0526142445450803</v>
      </c>
    </row>
    <row r="23" customFormat="false" ht="15" hidden="false" customHeight="true" outlineLevel="0" collapsed="false">
      <c r="A23" s="12" t="s">
        <v>22</v>
      </c>
      <c r="B23" s="8" t="n">
        <v>3443</v>
      </c>
      <c r="C23" s="8" t="n">
        <v>3359</v>
      </c>
      <c r="D23" s="9" t="n">
        <f aca="false">IF(C23=0,"-",B23/C23-1)</f>
        <v>0.0250074426912772</v>
      </c>
    </row>
    <row r="24" customFormat="false" ht="15" hidden="false" customHeight="true" outlineLevel="0" collapsed="false">
      <c r="A24" s="12" t="s">
        <v>23</v>
      </c>
      <c r="B24" s="10" t="n">
        <v>5475</v>
      </c>
      <c r="C24" s="10" t="n">
        <v>5443</v>
      </c>
      <c r="D24" s="11" t="n">
        <f aca="false">IF(C24=0,"-",B24/C24-1)</f>
        <v>0.00587911078449377</v>
      </c>
    </row>
    <row r="25" customFormat="false" ht="15" hidden="false" customHeight="true" outlineLevel="0" collapsed="false">
      <c r="A25" s="12" t="s">
        <v>24</v>
      </c>
      <c r="B25" s="8" t="n">
        <v>2894</v>
      </c>
      <c r="C25" s="8" t="n">
        <v>2830</v>
      </c>
      <c r="D25" s="9" t="n">
        <f aca="false">IF(C25=0,"-",B25/C25-1)</f>
        <v>0.0226148409893994</v>
      </c>
    </row>
    <row r="26" customFormat="false" ht="15" hidden="false" customHeight="true" outlineLevel="0" collapsed="false">
      <c r="A26" s="12" t="s">
        <v>25</v>
      </c>
      <c r="B26" s="10" t="n">
        <v>808</v>
      </c>
      <c r="C26" s="10" t="n">
        <v>785</v>
      </c>
      <c r="D26" s="11" t="n">
        <f aca="false">IF(C26=0,"-",B26/C26-1)</f>
        <v>0.0292993630573248</v>
      </c>
    </row>
    <row r="27" customFormat="false" ht="15" hidden="false" customHeight="true" outlineLevel="0" collapsed="false">
      <c r="A27" s="12" t="s">
        <v>26</v>
      </c>
      <c r="B27" s="8" t="n">
        <v>1027</v>
      </c>
      <c r="C27" s="8" t="n">
        <v>821</v>
      </c>
      <c r="D27" s="9" t="n">
        <f aca="false">IF(C27=0,"-",B27/C27-1)</f>
        <v>0.250913520097442</v>
      </c>
    </row>
    <row r="28" customFormat="false" ht="15" hidden="false" customHeight="true" outlineLevel="0" collapsed="false">
      <c r="A28" s="12" t="s">
        <v>27</v>
      </c>
      <c r="B28" s="10" t="n">
        <v>39805</v>
      </c>
      <c r="C28" s="10" t="n">
        <v>30862</v>
      </c>
      <c r="D28" s="11" t="n">
        <f aca="false">IF(C28=0,"-",B28/C28-1)</f>
        <v>0.289773831896831</v>
      </c>
    </row>
    <row r="29" customFormat="false" ht="15" hidden="false" customHeight="true" outlineLevel="0" collapsed="false">
      <c r="A29" s="13" t="s">
        <v>28</v>
      </c>
      <c r="B29" s="14" t="n">
        <v>91804</v>
      </c>
      <c r="C29" s="14" t="n">
        <v>80535</v>
      </c>
      <c r="D29" s="15" t="n">
        <f aca="false">IF(C29=0,"-",B29/C29-1)</f>
        <v>0.13992673992674</v>
      </c>
    </row>
    <row r="31" customFormat="false" ht="15" hidden="false" customHeight="true" outlineLevel="0" collapsed="false">
      <c r="A31" s="13" t="s">
        <v>29</v>
      </c>
      <c r="B31" s="14" t="n">
        <v>1116938</v>
      </c>
      <c r="C31" s="14" t="n">
        <v>1041985</v>
      </c>
      <c r="D31" s="15" t="n">
        <f aca="false">IF(C31=0,"-",B31/C31-1)</f>
        <v>0.0719328973065831</v>
      </c>
    </row>
    <row r="33" customFormat="false" ht="15" hidden="false" customHeight="true" outlineLevel="0" collapsed="false">
      <c r="A33" s="6" t="s">
        <v>30</v>
      </c>
    </row>
    <row r="34" customFormat="false" ht="15" hidden="false" customHeight="true" outlineLevel="0" collapsed="false">
      <c r="A34" s="6" t="s">
        <v>31</v>
      </c>
    </row>
    <row r="35" customFormat="false" ht="15" hidden="false" customHeight="true" outlineLevel="0" collapsed="false">
      <c r="A35" s="12" t="s">
        <v>15</v>
      </c>
      <c r="B35" s="8" t="n">
        <v>258139</v>
      </c>
      <c r="C35" s="8" t="n">
        <v>252894</v>
      </c>
      <c r="D35" s="9" t="n">
        <f aca="false">IF(C35=0,"-",B35/C35-1)</f>
        <v>0.0207399147468901</v>
      </c>
    </row>
    <row r="36" customFormat="false" ht="15" hidden="false" customHeight="true" outlineLevel="0" collapsed="false">
      <c r="A36" s="12" t="s">
        <v>17</v>
      </c>
      <c r="B36" s="10" t="n">
        <v>457284</v>
      </c>
      <c r="C36" s="10" t="n">
        <v>435499</v>
      </c>
      <c r="D36" s="11" t="n">
        <f aca="false">IF(C36=0,"-",B36/C36-1)</f>
        <v>0.0500230769760666</v>
      </c>
    </row>
    <row r="37" customFormat="false" ht="15" hidden="false" customHeight="true" outlineLevel="0" collapsed="false">
      <c r="A37" s="12" t="s">
        <v>32</v>
      </c>
      <c r="B37" s="8" t="n">
        <v>26723</v>
      </c>
      <c r="C37" s="8" t="n">
        <v>20009</v>
      </c>
      <c r="D37" s="9" t="n">
        <f aca="false">IF(C37=0,"-",B37/C37-1)</f>
        <v>0.335549002948673</v>
      </c>
    </row>
    <row r="38" customFormat="false" ht="15" hidden="false" customHeight="true" outlineLevel="0" collapsed="false">
      <c r="A38" s="12" t="s">
        <v>33</v>
      </c>
      <c r="B38" s="10" t="n">
        <v>65978</v>
      </c>
      <c r="C38" s="10" t="n">
        <v>56455</v>
      </c>
      <c r="D38" s="11" t="n">
        <f aca="false">IF(C38=0,"-",B38/C38-1)</f>
        <v>0.16868302187583</v>
      </c>
    </row>
    <row r="39" customFormat="false" ht="15" hidden="false" customHeight="true" outlineLevel="0" collapsed="false">
      <c r="A39" s="13" t="s">
        <v>34</v>
      </c>
      <c r="B39" s="14" t="n">
        <v>808124</v>
      </c>
      <c r="C39" s="14" t="n">
        <v>764857</v>
      </c>
      <c r="D39" s="15" t="n">
        <f aca="false">IF(C39=0,"-",B39/C39-1)</f>
        <v>0.0565687442227762</v>
      </c>
    </row>
    <row r="41" customFormat="false" ht="15" hidden="false" customHeight="true" outlineLevel="0" collapsed="false">
      <c r="A41" s="7" t="s">
        <v>35</v>
      </c>
      <c r="B41" s="8" t="n">
        <v>24244</v>
      </c>
      <c r="C41" s="8" t="n">
        <v>21642</v>
      </c>
      <c r="D41" s="9" t="n">
        <f aca="false">IF(C41=0,"-",B41/C41-1)</f>
        <v>0.120229183994086</v>
      </c>
    </row>
    <row r="42" customFormat="false" ht="15" hidden="false" customHeight="true" outlineLevel="0" collapsed="false">
      <c r="A42" s="7" t="s">
        <v>36</v>
      </c>
      <c r="B42" s="10" t="n">
        <v>6031</v>
      </c>
      <c r="C42" s="10" t="n">
        <v>7997</v>
      </c>
      <c r="D42" s="11" t="n">
        <f aca="false">IF(C42=0,"-",B42/C42-1)</f>
        <v>-0.245842190821558</v>
      </c>
    </row>
    <row r="43" customFormat="false" ht="15" hidden="false" customHeight="true" outlineLevel="0" collapsed="false">
      <c r="A43" s="7" t="s">
        <v>37</v>
      </c>
      <c r="B43" s="8" t="n">
        <v>130042</v>
      </c>
      <c r="C43" s="8" t="n">
        <v>110153</v>
      </c>
      <c r="D43" s="9" t="n">
        <f aca="false">IF(C43=0,"-",B43/C43-1)</f>
        <v>0.180557951213312</v>
      </c>
    </row>
    <row r="45" customFormat="false" ht="15" hidden="false" customHeight="true" outlineLevel="0" collapsed="false">
      <c r="A45" s="6" t="s">
        <v>38</v>
      </c>
    </row>
    <row r="46" customFormat="false" ht="15" hidden="false" customHeight="true" outlineLevel="0" collapsed="false">
      <c r="A46" s="12" t="s">
        <v>21</v>
      </c>
      <c r="B46" s="10" t="n">
        <v>41411</v>
      </c>
      <c r="C46" s="10" t="n">
        <v>40654</v>
      </c>
      <c r="D46" s="11" t="n">
        <f aca="false">IF(C46=0,"-",B46/C46-1)</f>
        <v>0.0186205539430315</v>
      </c>
    </row>
    <row r="47" customFormat="false" ht="15" hidden="false" customHeight="true" outlineLevel="0" collapsed="false">
      <c r="A47" s="12" t="s">
        <v>39</v>
      </c>
      <c r="B47" s="8" t="n">
        <v>47</v>
      </c>
      <c r="C47" s="8" t="n">
        <v>49</v>
      </c>
      <c r="D47" s="9" t="n">
        <f aca="false">IF(C47=0,"-",B47/C47-1)</f>
        <v>-0.0408163265306123</v>
      </c>
    </row>
    <row r="48" customFormat="false" ht="15" hidden="false" customHeight="true" outlineLevel="0" collapsed="false">
      <c r="A48" s="12" t="s">
        <v>40</v>
      </c>
      <c r="B48" s="10" t="n">
        <v>34807</v>
      </c>
      <c r="C48" s="10" t="n">
        <v>30161</v>
      </c>
      <c r="D48" s="11" t="n">
        <f aca="false">IF(C48=0,"-",B48/C48-1)</f>
        <v>0.154039985411624</v>
      </c>
    </row>
    <row r="49" customFormat="false" ht="15" hidden="false" customHeight="true" outlineLevel="0" collapsed="false">
      <c r="A49" s="13" t="s">
        <v>41</v>
      </c>
      <c r="B49" s="14" t="n">
        <v>76265</v>
      </c>
      <c r="C49" s="14" t="n">
        <v>70864</v>
      </c>
      <c r="D49" s="15" t="n">
        <f aca="false">IF(C49=0,"-",B49/C49-1)</f>
        <v>0.0762164145405284</v>
      </c>
    </row>
    <row r="51" customFormat="false" ht="15" hidden="false" customHeight="true" outlineLevel="0" collapsed="false">
      <c r="A51" s="7" t="s">
        <v>42</v>
      </c>
      <c r="B51" s="8" t="n">
        <v>7819</v>
      </c>
      <c r="C51" s="8" t="n">
        <v>7465</v>
      </c>
      <c r="D51" s="9" t="n">
        <f aca="false">IF(C51=0,"-",B51/C51-1)</f>
        <v>0.047421299397187</v>
      </c>
    </row>
    <row r="52" customFormat="false" ht="15" hidden="false" customHeight="true" outlineLevel="0" collapsed="false">
      <c r="A52" s="13" t="s">
        <v>43</v>
      </c>
      <c r="B52" s="14" t="n">
        <v>1052525</v>
      </c>
      <c r="C52" s="14" t="n">
        <v>982978</v>
      </c>
      <c r="D52" s="15" t="n">
        <f aca="false">IF(C52=0,"-",B52/C52-1)</f>
        <v>0.0707513291243547</v>
      </c>
    </row>
    <row r="54" customFormat="false" ht="15" hidden="false" customHeight="true" outlineLevel="0" collapsed="false">
      <c r="A54" s="6" t="s">
        <v>44</v>
      </c>
    </row>
    <row r="55" customFormat="false" ht="15" hidden="false" customHeight="true" outlineLevel="0" collapsed="false">
      <c r="A55" s="12" t="s">
        <v>45</v>
      </c>
      <c r="B55" s="8" t="n">
        <v>6369</v>
      </c>
      <c r="C55" s="8" t="n">
        <v>4946</v>
      </c>
      <c r="D55" s="9" t="n">
        <f aca="false">IF(C55=0,"-",B55/C55-1)</f>
        <v>0.287707238172261</v>
      </c>
    </row>
    <row r="56" customFormat="false" ht="15" hidden="false" customHeight="true" outlineLevel="0" collapsed="false">
      <c r="A56" s="12" t="s">
        <v>46</v>
      </c>
      <c r="B56" s="10" t="n">
        <v>16845</v>
      </c>
      <c r="C56" s="10" t="n">
        <v>17011</v>
      </c>
      <c r="D56" s="11" t="n">
        <f aca="false">IF(C56=0,"-",B56/C56-1)</f>
        <v>-0.00975839162894598</v>
      </c>
    </row>
    <row r="57" customFormat="false" ht="15" hidden="false" customHeight="true" outlineLevel="0" collapsed="false">
      <c r="A57" s="12" t="s">
        <v>47</v>
      </c>
      <c r="B57" s="8" t="n">
        <v>226</v>
      </c>
      <c r="C57" s="8" t="n">
        <v>159</v>
      </c>
      <c r="D57" s="9" t="n">
        <f aca="false">IF(C57=0,"-",B57/C57-1)</f>
        <v>0.421383647798742</v>
      </c>
    </row>
    <row r="58" customFormat="false" ht="15" hidden="false" customHeight="true" outlineLevel="0" collapsed="false">
      <c r="A58" s="12" t="s">
        <v>48</v>
      </c>
      <c r="B58" s="10" t="n">
        <v>36471</v>
      </c>
      <c r="C58" s="10" t="n">
        <v>33471</v>
      </c>
      <c r="D58" s="11" t="n">
        <f aca="false">IF(C58=0,"-",B58/C58-1)</f>
        <v>0.089629828807027</v>
      </c>
    </row>
    <row r="59" customFormat="false" ht="15" hidden="false" customHeight="true" outlineLevel="0" collapsed="false">
      <c r="A59" s="12" t="s">
        <v>49</v>
      </c>
      <c r="B59" s="8" t="n">
        <v>4218</v>
      </c>
      <c r="C59" s="8" t="n">
        <v>3148</v>
      </c>
      <c r="D59" s="9" t="n">
        <f aca="false">IF(C59=0,"-",B59/C59-1)</f>
        <v>0.33989834815756</v>
      </c>
    </row>
    <row r="60" customFormat="false" ht="15" hidden="false" customHeight="true" outlineLevel="0" collapsed="false">
      <c r="A60" s="13" t="s">
        <v>50</v>
      </c>
      <c r="B60" s="14" t="n">
        <v>64129</v>
      </c>
      <c r="C60" s="14" t="n">
        <v>58735</v>
      </c>
      <c r="D60" s="15" t="n">
        <f aca="false">IF(C60=0,"-",B60/C60-1)</f>
        <v>0.0918362135013195</v>
      </c>
    </row>
    <row r="61" customFormat="false" ht="15" hidden="false" customHeight="true" outlineLevel="0" collapsed="false">
      <c r="A61" s="7" t="s">
        <v>51</v>
      </c>
      <c r="B61" s="8" t="n">
        <v>284</v>
      </c>
      <c r="C61" s="8" t="n">
        <v>272</v>
      </c>
      <c r="D61" s="9" t="n">
        <f aca="false">IF(C61=0,"-",B61/C61-1)</f>
        <v>0.0441176470588236</v>
      </c>
    </row>
    <row r="62" customFormat="false" ht="15" hidden="false" customHeight="true" outlineLevel="0" collapsed="false">
      <c r="A62" s="13" t="s">
        <v>52</v>
      </c>
      <c r="B62" s="14" t="n">
        <v>64413</v>
      </c>
      <c r="C62" s="14" t="n">
        <v>59007</v>
      </c>
      <c r="D62" s="15" t="n">
        <f aca="false">IF(C62=0,"-",B62/C62-1)</f>
        <v>0.0916162489196197</v>
      </c>
    </row>
    <row r="64" customFormat="false" ht="15" hidden="false" customHeight="true" outlineLevel="0" collapsed="false">
      <c r="A64" s="13" t="s">
        <v>53</v>
      </c>
      <c r="B64" s="14" t="n">
        <v>1116938</v>
      </c>
      <c r="C64" s="14" t="n">
        <v>1041985</v>
      </c>
      <c r="D64" s="15" t="n">
        <f aca="false">IF(C64=0,"-",B64/C64-1)</f>
        <v>0.0719328973065831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D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54</v>
      </c>
      <c r="B3" s="4"/>
      <c r="C3" s="4"/>
      <c r="D3" s="4"/>
    </row>
    <row r="5" customFormat="false" ht="15" hidden="false" customHeight="true" outlineLevel="0" collapsed="false">
      <c r="A5" s="5" t="s">
        <v>55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56</v>
      </c>
    </row>
    <row r="7" customFormat="false" ht="15" hidden="false" customHeight="true" outlineLevel="0" collapsed="false">
      <c r="A7" s="12" t="s">
        <v>57</v>
      </c>
      <c r="B7" s="8" t="n">
        <v>32074</v>
      </c>
      <c r="C7" s="8" t="n">
        <v>33925</v>
      </c>
      <c r="D7" s="9" t="n">
        <f aca="false">IF(C7=0,"-",B7/C7-1)</f>
        <v>-0.0545615327929255</v>
      </c>
    </row>
    <row r="8" customFormat="false" ht="15" hidden="false" customHeight="true" outlineLevel="0" collapsed="false">
      <c r="A8" s="12" t="s">
        <v>58</v>
      </c>
      <c r="B8" s="10" t="n">
        <v>9045</v>
      </c>
      <c r="C8" s="10" t="n">
        <v>9560</v>
      </c>
      <c r="D8" s="11" t="n">
        <f aca="false">IF(C8=0,"-",B8/C8-1)</f>
        <v>-0.0538702928870293</v>
      </c>
    </row>
    <row r="9" customFormat="false" ht="15" hidden="false" customHeight="true" outlineLevel="0" collapsed="false">
      <c r="A9" s="12" t="s">
        <v>59</v>
      </c>
      <c r="B9" s="8" t="n">
        <v>5260</v>
      </c>
      <c r="C9" s="8" t="n">
        <v>5811</v>
      </c>
      <c r="D9" s="9" t="n">
        <f aca="false">IF(C9=0,"-",B9/C9-1)</f>
        <v>-0.094820168645672</v>
      </c>
    </row>
    <row r="10" customFormat="false" ht="15" hidden="false" customHeight="true" outlineLevel="0" collapsed="false">
      <c r="A10" s="12" t="s">
        <v>60</v>
      </c>
      <c r="B10" s="10" t="n">
        <v>2382</v>
      </c>
      <c r="C10" s="10" t="n">
        <v>2889</v>
      </c>
      <c r="D10" s="11" t="n">
        <f aca="false">IF(C10=0,"-",B10/C10-1)</f>
        <v>-0.175493250259605</v>
      </c>
    </row>
    <row r="11" customFormat="false" ht="15" hidden="false" customHeight="true" outlineLevel="0" collapsed="false">
      <c r="A11" s="13" t="s">
        <v>61</v>
      </c>
      <c r="B11" s="14" t="n">
        <v>48761</v>
      </c>
      <c r="C11" s="14" t="n">
        <v>52185</v>
      </c>
      <c r="D11" s="15" t="n">
        <f aca="false">IF(C11=0,"-",B11/C11-1)</f>
        <v>-0.0656127239628246</v>
      </c>
    </row>
    <row r="13" customFormat="false" ht="15" hidden="false" customHeight="true" outlineLevel="0" collapsed="false">
      <c r="A13" s="6" t="s">
        <v>62</v>
      </c>
    </row>
    <row r="14" customFormat="false" ht="15" hidden="false" customHeight="true" outlineLevel="0" collapsed="false">
      <c r="A14" s="12" t="s">
        <v>63</v>
      </c>
      <c r="B14" s="10" t="n">
        <v>25110</v>
      </c>
      <c r="C14" s="10" t="n">
        <v>30476</v>
      </c>
      <c r="D14" s="11" t="n">
        <f aca="false">IF(C14=0,"-",B14/C14-1)</f>
        <v>-0.176072975456097</v>
      </c>
    </row>
    <row r="15" customFormat="false" ht="15" hidden="false" customHeight="true" outlineLevel="0" collapsed="false">
      <c r="A15" s="12" t="s">
        <v>64</v>
      </c>
      <c r="B15" s="8" t="n">
        <v>565</v>
      </c>
      <c r="C15" s="8" t="n">
        <v>625</v>
      </c>
      <c r="D15" s="9" t="n">
        <f aca="false">IF(C15=0,"-",B15/C15-1)</f>
        <v>-0.096</v>
      </c>
    </row>
    <row r="16" customFormat="false" ht="15" hidden="false" customHeight="true" outlineLevel="0" collapsed="false">
      <c r="A16" s="12" t="s">
        <v>65</v>
      </c>
      <c r="B16" s="10" t="n">
        <v>6521</v>
      </c>
      <c r="C16" s="10" t="n">
        <v>6334</v>
      </c>
      <c r="D16" s="11" t="n">
        <f aca="false">IF(C16=0,"-",B16/C16-1)</f>
        <v>0.0295232080833596</v>
      </c>
    </row>
    <row r="17" customFormat="false" ht="15" hidden="false" customHeight="true" outlineLevel="0" collapsed="false">
      <c r="A17" s="12" t="s">
        <v>66</v>
      </c>
      <c r="B17" s="8" t="n">
        <v>407</v>
      </c>
      <c r="C17" s="8" t="n">
        <v>510</v>
      </c>
      <c r="D17" s="9" t="n">
        <f aca="false">IF(C17=0,"-",B17/C17-1)</f>
        <v>-0.201960784313725</v>
      </c>
    </row>
    <row r="18" customFormat="false" ht="15" hidden="false" customHeight="true" outlineLevel="0" collapsed="false">
      <c r="A18" s="12" t="s">
        <v>67</v>
      </c>
      <c r="B18" s="10" t="n">
        <v>389</v>
      </c>
      <c r="C18" s="10" t="n">
        <v>545</v>
      </c>
      <c r="D18" s="11" t="n">
        <f aca="false">IF(C18=0,"-",B18/C18-1)</f>
        <v>-0.286238532110092</v>
      </c>
    </row>
    <row r="19" customFormat="false" ht="15" hidden="false" customHeight="true" outlineLevel="0" collapsed="false">
      <c r="A19" s="13" t="s">
        <v>68</v>
      </c>
      <c r="B19" s="14" t="n">
        <v>32992</v>
      </c>
      <c r="C19" s="14" t="n">
        <v>38490</v>
      </c>
      <c r="D19" s="15" t="n">
        <f aca="false">IF(C19=0,"-",B19/C19-1)</f>
        <v>-0.142842296700442</v>
      </c>
    </row>
    <row r="21" customFormat="false" ht="15" hidden="false" customHeight="true" outlineLevel="0" collapsed="false">
      <c r="A21" s="13" t="s">
        <v>69</v>
      </c>
      <c r="B21" s="14" t="n">
        <v>15769</v>
      </c>
      <c r="C21" s="14" t="n">
        <v>13695</v>
      </c>
      <c r="D21" s="15" t="n">
        <f aca="false">IF(C21=0,"-",B21/C21-1)</f>
        <v>0.151442132165024</v>
      </c>
    </row>
    <row r="23" customFormat="false" ht="15" hidden="false" customHeight="true" outlineLevel="0" collapsed="false">
      <c r="A23" s="6" t="s">
        <v>70</v>
      </c>
    </row>
    <row r="24" customFormat="false" ht="15" hidden="false" customHeight="true" outlineLevel="0" collapsed="false">
      <c r="A24" s="12" t="s">
        <v>71</v>
      </c>
      <c r="B24" s="10" t="n">
        <v>915</v>
      </c>
      <c r="C24" s="10" t="n">
        <v>707</v>
      </c>
      <c r="D24" s="11" t="n">
        <f aca="false">IF(C24=0,"-",B24/C24-1)</f>
        <v>0.294200848656294</v>
      </c>
    </row>
    <row r="25" customFormat="false" ht="15" hidden="false" customHeight="true" outlineLevel="0" collapsed="false">
      <c r="A25" s="12" t="s">
        <v>72</v>
      </c>
      <c r="B25" s="8" t="n">
        <v>996</v>
      </c>
      <c r="C25" s="8" t="n">
        <v>958</v>
      </c>
      <c r="D25" s="9" t="n">
        <f aca="false">IF(C25=0,"-",B25/C25-1)</f>
        <v>0.0396659707724425</v>
      </c>
    </row>
    <row r="26" customFormat="false" ht="15" hidden="false" customHeight="true" outlineLevel="0" collapsed="false">
      <c r="A26" s="12" t="s">
        <v>73</v>
      </c>
      <c r="B26" s="10" t="n">
        <v>1015</v>
      </c>
      <c r="C26" s="10" t="n">
        <v>1218</v>
      </c>
      <c r="D26" s="11" t="n">
        <f aca="false">IF(C26=0,"-",B26/C26-1)</f>
        <v>-0.166666666666667</v>
      </c>
    </row>
    <row r="27" customFormat="false" ht="15" hidden="false" customHeight="true" outlineLevel="0" collapsed="false">
      <c r="A27" s="12" t="s">
        <v>74</v>
      </c>
      <c r="B27" s="8" t="n">
        <v>402</v>
      </c>
      <c r="C27" s="8" t="n">
        <v>414</v>
      </c>
      <c r="D27" s="9" t="n">
        <f aca="false">IF(C27=0,"-",B27/C27-1)</f>
        <v>-0.0289855072463768</v>
      </c>
    </row>
    <row r="28" customFormat="false" ht="15" hidden="false" customHeight="true" outlineLevel="0" collapsed="false">
      <c r="A28" s="12" t="s">
        <v>75</v>
      </c>
      <c r="B28" s="10" t="n">
        <v>2241</v>
      </c>
      <c r="C28" s="10" t="n">
        <v>1980</v>
      </c>
      <c r="D28" s="11" t="n">
        <f aca="false">IF(C28=0,"-",B28/C28-1)</f>
        <v>0.131818181818182</v>
      </c>
    </row>
    <row r="29" customFormat="false" ht="15" hidden="false" customHeight="true" outlineLevel="0" collapsed="false">
      <c r="A29" s="12" t="s">
        <v>76</v>
      </c>
      <c r="B29" s="8" t="n">
        <v>2019</v>
      </c>
      <c r="C29" s="8" t="n">
        <v>1796</v>
      </c>
      <c r="D29" s="9" t="n">
        <f aca="false">IF(C29=0,"-",B29/C29-1)</f>
        <v>0.124164810690423</v>
      </c>
    </row>
    <row r="30" customFormat="false" ht="15" hidden="false" customHeight="true" outlineLevel="0" collapsed="false">
      <c r="A30" s="12" t="s">
        <v>77</v>
      </c>
      <c r="B30" s="10" t="n">
        <v>317</v>
      </c>
      <c r="C30" s="10" t="n">
        <v>356</v>
      </c>
      <c r="D30" s="11" t="n">
        <f aca="false">IF(C30=0,"-",B30/C30-1)</f>
        <v>-0.109550561797753</v>
      </c>
    </row>
    <row r="31" customFormat="false" ht="15" hidden="false" customHeight="true" outlineLevel="0" collapsed="false">
      <c r="A31" s="12" t="s">
        <v>78</v>
      </c>
      <c r="B31" s="8" t="n">
        <v>554</v>
      </c>
      <c r="C31" s="8" t="n">
        <v>431</v>
      </c>
      <c r="D31" s="9" t="n">
        <f aca="false">IF(C31=0,"-",B31/C31-1)</f>
        <v>0.28538283062645</v>
      </c>
    </row>
    <row r="32" customFormat="false" ht="15" hidden="false" customHeight="true" outlineLevel="0" collapsed="false">
      <c r="A32" s="12" t="s">
        <v>79</v>
      </c>
      <c r="B32" s="10" t="n">
        <v>4022</v>
      </c>
      <c r="C32" s="10" t="n">
        <v>3226</v>
      </c>
      <c r="D32" s="11" t="n">
        <f aca="false">IF(C32=0,"-",B32/C32-1)</f>
        <v>0.246745195288283</v>
      </c>
    </row>
    <row r="33" customFormat="false" ht="15" hidden="false" customHeight="true" outlineLevel="0" collapsed="false">
      <c r="A33" s="12" t="s">
        <v>80</v>
      </c>
      <c r="B33" s="8" t="n">
        <v>-14</v>
      </c>
      <c r="C33" s="8" t="n">
        <v>43</v>
      </c>
      <c r="D33" s="9" t="n">
        <f aca="false">IF(C33=0,"-",B33/C33-1)</f>
        <v>-1.32558139534884</v>
      </c>
    </row>
    <row r="34" customFormat="false" ht="15" hidden="false" customHeight="true" outlineLevel="0" collapsed="false">
      <c r="A34" s="12" t="s">
        <v>81</v>
      </c>
      <c r="B34" s="10" t="n">
        <v>369</v>
      </c>
      <c r="C34" s="10" t="n">
        <v>386</v>
      </c>
      <c r="D34" s="11" t="n">
        <f aca="false">IF(C34=0,"-",B34/C34-1)</f>
        <v>-0.0440414507772021</v>
      </c>
    </row>
    <row r="35" customFormat="false" ht="15" hidden="false" customHeight="true" outlineLevel="0" collapsed="false">
      <c r="A35" s="12" t="s">
        <v>82</v>
      </c>
      <c r="B35" s="8" t="n">
        <v>117</v>
      </c>
      <c r="C35" s="8" t="n">
        <v>79</v>
      </c>
      <c r="D35" s="9" t="n">
        <f aca="false">IF(C35=0,"-",B35/C35-1)</f>
        <v>0.481012658227848</v>
      </c>
    </row>
    <row r="36" customFormat="false" ht="15" hidden="false" customHeight="true" outlineLevel="0" collapsed="false">
      <c r="A36" s="12" t="s">
        <v>67</v>
      </c>
      <c r="B36" s="10" t="n">
        <v>411</v>
      </c>
      <c r="C36" s="10" t="n">
        <v>317</v>
      </c>
      <c r="D36" s="11" t="n">
        <f aca="false">IF(C36=0,"-",B36/C36-1)</f>
        <v>0.296529968454259</v>
      </c>
    </row>
    <row r="37" customFormat="false" ht="15" hidden="false" customHeight="true" outlineLevel="0" collapsed="false">
      <c r="A37" s="13" t="s">
        <v>83</v>
      </c>
      <c r="B37" s="14" t="n">
        <v>13364</v>
      </c>
      <c r="C37" s="14" t="n">
        <v>11911</v>
      </c>
      <c r="D37" s="15" t="n">
        <f aca="false">IF(C37=0,"-",B37/C37-1)</f>
        <v>0.121988078246999</v>
      </c>
    </row>
    <row r="39" customFormat="false" ht="15" hidden="false" customHeight="true" outlineLevel="0" collapsed="false">
      <c r="A39" s="13" t="s">
        <v>84</v>
      </c>
      <c r="B39" s="14" t="n">
        <v>29133</v>
      </c>
      <c r="C39" s="14" t="n">
        <v>25606</v>
      </c>
      <c r="D39" s="15" t="n">
        <f aca="false">IF(C39=0,"-",B39/C39-1)</f>
        <v>0.137741154416934</v>
      </c>
    </row>
    <row r="41" customFormat="false" ht="15" hidden="false" customHeight="true" outlineLevel="0" collapsed="false">
      <c r="A41" s="7" t="s">
        <v>85</v>
      </c>
      <c r="B41" s="8" t="n">
        <v>2342</v>
      </c>
      <c r="C41" s="8" t="n">
        <v>2001</v>
      </c>
      <c r="D41" s="9" t="n">
        <f aca="false">IF(C41=0,"-",B41/C41-1)</f>
        <v>0.170414792603698</v>
      </c>
    </row>
    <row r="43" customFormat="false" ht="15" hidden="false" customHeight="true" outlineLevel="0" collapsed="false">
      <c r="A43" s="6" t="s">
        <v>86</v>
      </c>
    </row>
    <row r="44" customFormat="false" ht="15" hidden="false" customHeight="true" outlineLevel="0" collapsed="false">
      <c r="A44" s="12" t="s">
        <v>87</v>
      </c>
      <c r="B44" s="10" t="n">
        <v>9266</v>
      </c>
      <c r="C44" s="10" t="n">
        <v>8261</v>
      </c>
      <c r="D44" s="11" t="n">
        <f aca="false">IF(C44=0,"-",B44/C44-1)</f>
        <v>0.121655973853045</v>
      </c>
    </row>
    <row r="45" customFormat="false" ht="15" hidden="false" customHeight="true" outlineLevel="0" collapsed="false">
      <c r="A45" s="12" t="s">
        <v>88</v>
      </c>
      <c r="B45" s="8" t="n">
        <v>847</v>
      </c>
      <c r="C45" s="8" t="n">
        <v>830</v>
      </c>
      <c r="D45" s="9" t="n">
        <f aca="false">IF(C45=0,"-",B45/C45-1)</f>
        <v>0.0204819277108435</v>
      </c>
    </row>
    <row r="46" customFormat="false" ht="15" hidden="false" customHeight="true" outlineLevel="0" collapsed="false">
      <c r="A46" s="12" t="s">
        <v>89</v>
      </c>
      <c r="B46" s="10" t="n">
        <v>2946</v>
      </c>
      <c r="C46" s="10" t="n">
        <v>2719</v>
      </c>
      <c r="D46" s="11" t="n">
        <f aca="false">IF(C46=0,"-",B46/C46-1)</f>
        <v>0.0834865759470393</v>
      </c>
    </row>
    <row r="47" customFormat="false" ht="15" hidden="false" customHeight="true" outlineLevel="0" collapsed="false">
      <c r="A47" s="12" t="s">
        <v>90</v>
      </c>
      <c r="B47" s="8" t="n">
        <v>395</v>
      </c>
      <c r="C47" s="8" t="n">
        <v>362</v>
      </c>
      <c r="D47" s="9" t="n">
        <f aca="false">IF(C47=0,"-",B47/C47-1)</f>
        <v>0.0911602209944751</v>
      </c>
    </row>
    <row r="48" customFormat="false" ht="15" hidden="false" customHeight="true" outlineLevel="0" collapsed="false">
      <c r="A48" s="12" t="s">
        <v>91</v>
      </c>
      <c r="B48" s="10" t="n">
        <v>398</v>
      </c>
      <c r="C48" s="10" t="n">
        <v>344</v>
      </c>
      <c r="D48" s="11" t="n">
        <f aca="false">IF(C48=0,"-",B48/C48-1)</f>
        <v>0.156976744186047</v>
      </c>
    </row>
    <row r="49" customFormat="false" ht="15" hidden="false" customHeight="true" outlineLevel="0" collapsed="false">
      <c r="A49" s="12" t="s">
        <v>92</v>
      </c>
      <c r="B49" s="8" t="n">
        <v>284</v>
      </c>
      <c r="C49" s="8" t="n">
        <v>257</v>
      </c>
      <c r="D49" s="9" t="n">
        <f aca="false">IF(C49=0,"-",B49/C49-1)</f>
        <v>0.105058365758755</v>
      </c>
    </row>
    <row r="50" customFormat="false" ht="15" hidden="false" customHeight="true" outlineLevel="0" collapsed="false">
      <c r="A50" s="12" t="s">
        <v>93</v>
      </c>
      <c r="B50" s="10" t="n">
        <v>124</v>
      </c>
      <c r="C50" s="10" t="n">
        <v>128</v>
      </c>
      <c r="D50" s="11" t="n">
        <f aca="false">IF(C50=0,"-",B50/C50-1)</f>
        <v>-0.03125</v>
      </c>
    </row>
    <row r="51" customFormat="false" ht="15" hidden="false" customHeight="true" outlineLevel="0" collapsed="false">
      <c r="A51" s="12" t="s">
        <v>67</v>
      </c>
      <c r="B51" s="8" t="n">
        <v>1592</v>
      </c>
      <c r="C51" s="8" t="n">
        <v>1538</v>
      </c>
      <c r="D51" s="9" t="n">
        <f aca="false">IF(C51=0,"-",B51/C51-1)</f>
        <v>0.0351105331599479</v>
      </c>
    </row>
    <row r="52" customFormat="false" ht="15" hidden="false" customHeight="true" outlineLevel="0" collapsed="false">
      <c r="A52" s="13" t="s">
        <v>94</v>
      </c>
      <c r="B52" s="14" t="n">
        <v>15852</v>
      </c>
      <c r="C52" s="14" t="n">
        <v>14439</v>
      </c>
      <c r="D52" s="15" t="n">
        <f aca="false">IF(C52=0,"-",B52/C52-1)</f>
        <v>0.0978599626012882</v>
      </c>
    </row>
    <row r="54" customFormat="false" ht="15" hidden="false" customHeight="true" outlineLevel="0" collapsed="false">
      <c r="A54" s="13" t="s">
        <v>95</v>
      </c>
      <c r="B54" s="14" t="n">
        <v>10939</v>
      </c>
      <c r="C54" s="14" t="n">
        <v>9166</v>
      </c>
      <c r="D54" s="15" t="n">
        <f aca="false">IF(C54=0,"-",B54/C54-1)</f>
        <v>0.193432249618154</v>
      </c>
    </row>
    <row r="55" customFormat="false" ht="15" hidden="false" customHeight="true" outlineLevel="0" collapsed="false">
      <c r="A55" s="7" t="s">
        <v>96</v>
      </c>
      <c r="B55" s="8" t="n">
        <v>2485</v>
      </c>
      <c r="C55" s="8" t="n">
        <v>2012</v>
      </c>
      <c r="D55" s="9" t="n">
        <f aca="false">IF(C55=0,"-",B55/C55-1)</f>
        <v>0.235089463220676</v>
      </c>
    </row>
    <row r="56" customFormat="false" ht="15" hidden="false" customHeight="true" outlineLevel="0" collapsed="false">
      <c r="A56" s="13" t="s">
        <v>97</v>
      </c>
      <c r="B56" s="14" t="n">
        <v>8454</v>
      </c>
      <c r="C56" s="14" t="n">
        <v>7154</v>
      </c>
      <c r="D56" s="15" t="n">
        <f aca="false">IF(C56=0,"-",B56/C56-1)</f>
        <v>0.181716522225329</v>
      </c>
    </row>
    <row r="58" customFormat="false" ht="15" hidden="false" customHeight="true" outlineLevel="0" collapsed="false">
      <c r="A58" s="6" t="s">
        <v>98</v>
      </c>
    </row>
    <row r="59" customFormat="false" ht="15" hidden="false" customHeight="true" outlineLevel="0" collapsed="false">
      <c r="A59" s="12" t="s">
        <v>99</v>
      </c>
      <c r="B59" s="8" t="n">
        <v>25</v>
      </c>
      <c r="C59" s="8" t="n">
        <v>39</v>
      </c>
      <c r="D59" s="9" t="n">
        <f aca="false">IF(C59=0,"-",B59/C59-1)</f>
        <v>-0.358974358974359</v>
      </c>
    </row>
    <row r="60" customFormat="false" ht="15" hidden="false" customHeight="true" outlineLevel="0" collapsed="false">
      <c r="A60" s="12" t="s">
        <v>100</v>
      </c>
      <c r="B60" s="10" t="n">
        <v>364</v>
      </c>
      <c r="C60" s="10" t="n">
        <v>263</v>
      </c>
      <c r="D60" s="11" t="n">
        <f aca="false">IF(C60=0,"-",B60/C60-1)</f>
        <v>0.384030418250951</v>
      </c>
    </row>
    <row r="61" customFormat="false" ht="15" hidden="false" customHeight="true" outlineLevel="0" collapsed="false">
      <c r="A61" s="12" t="s">
        <v>101</v>
      </c>
      <c r="B61" s="8" t="n">
        <v>8065</v>
      </c>
      <c r="C61" s="8" t="n">
        <v>6852</v>
      </c>
      <c r="D61" s="9" t="n">
        <f aca="false">IF(C61=0,"-",B61/C61-1)</f>
        <v>0.177028604786924</v>
      </c>
    </row>
    <row r="62" customFormat="false" ht="15" hidden="false" customHeight="true" outlineLevel="0" collapsed="false">
      <c r="A62" s="13" t="s">
        <v>102</v>
      </c>
      <c r="B62" s="14" t="n">
        <v>8429</v>
      </c>
      <c r="C62" s="14" t="n">
        <v>7115</v>
      </c>
      <c r="D62" s="15" t="n">
        <f aca="false">IF(C62=0,"-",B62/C62-1)</f>
        <v>0.184680252986648</v>
      </c>
    </row>
    <row r="64" customFormat="false" ht="15" hidden="false" customHeight="true" outlineLevel="0" collapsed="false">
      <c r="A64" s="7" t="s">
        <v>103</v>
      </c>
      <c r="B64" s="16" t="n">
        <v>8.62</v>
      </c>
      <c r="C64" s="16" t="n">
        <v>7.29</v>
      </c>
      <c r="D64" s="11" t="n">
        <f aca="false">IF(C64=0,"-",B64/C64-1)</f>
        <v>0.182441700960219</v>
      </c>
    </row>
    <row r="65" customFormat="false" ht="15" hidden="false" customHeight="true" outlineLevel="0" collapsed="false">
      <c r="A65" s="7" t="s">
        <v>104</v>
      </c>
      <c r="B65" s="17" t="n">
        <v>8.57</v>
      </c>
      <c r="C65" s="17" t="n">
        <v>7.28</v>
      </c>
      <c r="D65" s="9" t="n">
        <f aca="false">IF(C65=0,"-",B65/C65-1)</f>
        <v>0.177197802197802</v>
      </c>
    </row>
    <row r="66" customFormat="false" ht="15" hidden="false" customHeight="true" outlineLevel="0" collapsed="false">
      <c r="A66" s="7" t="s">
        <v>105</v>
      </c>
      <c r="B66" s="16" t="n">
        <v>3.88</v>
      </c>
      <c r="C66" s="16" t="n">
        <v>3.6</v>
      </c>
      <c r="D66" s="11" t="n">
        <f aca="false">IF(C66=0,"-",B66/C66-1)</f>
        <v>0.0777777777777777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106</v>
      </c>
      <c r="B3" s="4"/>
      <c r="C3" s="4"/>
      <c r="D3" s="4"/>
    </row>
    <row r="5" customFormat="false" ht="15" hidden="false" customHeight="true" outlineLevel="0" collapsed="false">
      <c r="A5" s="5" t="s">
        <v>55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107</v>
      </c>
    </row>
    <row r="7" customFormat="false" ht="15" hidden="false" customHeight="true" outlineLevel="0" collapsed="false">
      <c r="A7" s="7" t="s">
        <v>108</v>
      </c>
      <c r="B7" s="8" t="n">
        <v>8454</v>
      </c>
      <c r="C7" s="8" t="n">
        <v>7154</v>
      </c>
    </row>
    <row r="8" customFormat="false" ht="15" hidden="false" customHeight="true" outlineLevel="0" collapsed="false">
      <c r="A8" s="7" t="s">
        <v>85</v>
      </c>
      <c r="B8" s="10" t="n">
        <v>2342</v>
      </c>
      <c r="C8" s="10" t="n">
        <v>2001</v>
      </c>
    </row>
    <row r="9" customFormat="false" ht="15" hidden="false" customHeight="true" outlineLevel="0" collapsed="false">
      <c r="A9" s="7" t="s">
        <v>109</v>
      </c>
      <c r="B9" s="8" t="n">
        <v>1178</v>
      </c>
      <c r="C9" s="8" t="n">
        <v>1170</v>
      </c>
    </row>
    <row r="10" customFormat="false" ht="15" hidden="false" customHeight="true" outlineLevel="0" collapsed="false">
      <c r="A10" s="7" t="s">
        <v>110</v>
      </c>
      <c r="B10" s="10" t="n">
        <v>-257</v>
      </c>
      <c r="C10" s="10" t="n">
        <v>-244</v>
      </c>
    </row>
    <row r="11" customFormat="false" ht="15" hidden="false" customHeight="true" outlineLevel="0" collapsed="false">
      <c r="A11" s="6" t="s">
        <v>111</v>
      </c>
    </row>
    <row r="12" customFormat="false" ht="15" hidden="false" customHeight="true" outlineLevel="0" collapsed="false">
      <c r="A12" s="12" t="s">
        <v>112</v>
      </c>
      <c r="B12" s="10" t="n">
        <v>7875</v>
      </c>
      <c r="C12" s="10" t="n">
        <v>-4597</v>
      </c>
    </row>
    <row r="13" customFormat="false" ht="15" hidden="false" customHeight="true" outlineLevel="0" collapsed="false">
      <c r="A13" s="12" t="s">
        <v>113</v>
      </c>
      <c r="B13" s="8" t="n">
        <v>-33381</v>
      </c>
      <c r="C13" s="8" t="n">
        <v>-28930</v>
      </c>
    </row>
    <row r="14" customFormat="false" ht="15" hidden="false" customHeight="true" outlineLevel="0" collapsed="false">
      <c r="A14" s="12" t="s">
        <v>114</v>
      </c>
      <c r="B14" s="10" t="n">
        <v>37183</v>
      </c>
      <c r="C14" s="10" t="n">
        <v>34467</v>
      </c>
    </row>
    <row r="15" customFormat="false" ht="15" hidden="false" customHeight="true" outlineLevel="0" collapsed="false">
      <c r="A15" s="12" t="s">
        <v>115</v>
      </c>
      <c r="B15" s="8" t="n">
        <v>-1921</v>
      </c>
      <c r="C15" s="8" t="n">
        <v>-3240</v>
      </c>
    </row>
    <row r="16" customFormat="false" ht="15" hidden="false" customHeight="true" outlineLevel="0" collapsed="false">
      <c r="A16" s="12" t="s">
        <v>116</v>
      </c>
      <c r="B16" s="10" t="n">
        <v>328</v>
      </c>
      <c r="C16" s="10" t="n">
        <v>-813</v>
      </c>
    </row>
    <row r="17" customFormat="false" ht="15" hidden="false" customHeight="true" outlineLevel="0" collapsed="false">
      <c r="A17" s="12" t="s">
        <v>117</v>
      </c>
      <c r="B17" s="8" t="n">
        <v>-22817</v>
      </c>
      <c r="C17" s="8" t="n">
        <v>-23319</v>
      </c>
    </row>
    <row r="18" customFormat="false" ht="15" hidden="false" customHeight="true" outlineLevel="0" collapsed="false">
      <c r="A18" s="12" t="s">
        <v>118</v>
      </c>
      <c r="B18" s="10" t="n">
        <v>19889</v>
      </c>
      <c r="C18" s="10" t="n">
        <v>23035</v>
      </c>
    </row>
    <row r="19" customFormat="false" ht="15" hidden="false" customHeight="true" outlineLevel="0" collapsed="false">
      <c r="A19" s="12" t="s">
        <v>119</v>
      </c>
      <c r="B19" s="8" t="n">
        <v>-1706</v>
      </c>
      <c r="C19" s="8" t="n">
        <v>6361</v>
      </c>
    </row>
    <row r="20" customFormat="false" ht="15" hidden="false" customHeight="true" outlineLevel="0" collapsed="false">
      <c r="A20" s="13" t="s">
        <v>120</v>
      </c>
      <c r="B20" s="14" t="n">
        <v>13838</v>
      </c>
      <c r="C20" s="14" t="n">
        <v>11088</v>
      </c>
    </row>
    <row r="22" customFormat="false" ht="15" hidden="false" customHeight="true" outlineLevel="0" collapsed="false">
      <c r="A22" s="6" t="s">
        <v>121</v>
      </c>
    </row>
    <row r="23" customFormat="false" ht="15" hidden="false" customHeight="true" outlineLevel="0" collapsed="false">
      <c r="A23" s="7" t="s">
        <v>122</v>
      </c>
      <c r="B23" s="8" t="n">
        <v>1250</v>
      </c>
      <c r="C23" s="8" t="n">
        <v>2250</v>
      </c>
    </row>
    <row r="24" customFormat="false" ht="15" hidden="false" customHeight="true" outlineLevel="0" collapsed="false">
      <c r="A24" s="7" t="s">
        <v>123</v>
      </c>
      <c r="B24" s="10" t="n">
        <v>-1069</v>
      </c>
      <c r="C24" s="10" t="n">
        <v>-1536</v>
      </c>
    </row>
    <row r="25" customFormat="false" ht="15" hidden="false" customHeight="true" outlineLevel="0" collapsed="false">
      <c r="A25" s="7" t="s">
        <v>124</v>
      </c>
      <c r="B25" s="8" t="n">
        <v>2757</v>
      </c>
      <c r="C25" s="8" t="n">
        <v>996</v>
      </c>
    </row>
    <row r="26" customFormat="false" ht="15" hidden="false" customHeight="true" outlineLevel="0" collapsed="false">
      <c r="A26" s="7" t="s">
        <v>125</v>
      </c>
      <c r="B26" s="10" t="n">
        <v>-1350</v>
      </c>
      <c r="C26" s="10" t="n">
        <v>-975</v>
      </c>
    </row>
    <row r="27" customFormat="false" ht="15" hidden="false" customHeight="true" outlineLevel="0" collapsed="false">
      <c r="A27" s="7" t="s">
        <v>126</v>
      </c>
      <c r="B27" s="8" t="n">
        <v>158</v>
      </c>
      <c r="C27" s="8" t="n">
        <v>312</v>
      </c>
    </row>
    <row r="28" customFormat="false" ht="15" hidden="false" customHeight="true" outlineLevel="0" collapsed="false">
      <c r="A28" s="7" t="s">
        <v>127</v>
      </c>
      <c r="B28" s="10" t="n">
        <v>-1731</v>
      </c>
      <c r="C28" s="10" t="n">
        <v>-419</v>
      </c>
    </row>
    <row r="29" customFormat="false" ht="15" hidden="false" customHeight="true" outlineLevel="0" collapsed="false">
      <c r="A29" s="7" t="s">
        <v>128</v>
      </c>
      <c r="B29" s="8" t="n">
        <v>-3993</v>
      </c>
      <c r="C29" s="8" t="n">
        <v>-2947</v>
      </c>
    </row>
    <row r="30" customFormat="false" ht="15" hidden="false" customHeight="true" outlineLevel="0" collapsed="false">
      <c r="A30" s="7" t="s">
        <v>129</v>
      </c>
      <c r="B30" s="10" t="n">
        <v>-309</v>
      </c>
      <c r="C30" s="10" t="n">
        <v>-287</v>
      </c>
    </row>
    <row r="31" customFormat="false" ht="15" hidden="false" customHeight="true" outlineLevel="0" collapsed="false">
      <c r="A31" s="7" t="s">
        <v>130</v>
      </c>
      <c r="B31" s="8" t="n">
        <v>-29</v>
      </c>
      <c r="C31" s="8" t="n">
        <v>0</v>
      </c>
    </row>
    <row r="32" customFormat="false" ht="15" hidden="false" customHeight="true" outlineLevel="0" collapsed="false">
      <c r="A32" s="13" t="s">
        <v>131</v>
      </c>
      <c r="B32" s="14" t="n">
        <v>-4312</v>
      </c>
      <c r="C32" s="14" t="n">
        <v>-2610</v>
      </c>
    </row>
    <row r="34" customFormat="false" ht="15" hidden="false" customHeight="true" outlineLevel="0" collapsed="false">
      <c r="A34" s="6" t="s">
        <v>132</v>
      </c>
    </row>
    <row r="35" customFormat="false" ht="15" hidden="false" customHeight="true" outlineLevel="0" collapsed="false">
      <c r="A35" s="7" t="s">
        <v>133</v>
      </c>
      <c r="B35" s="8" t="n">
        <v>-98369</v>
      </c>
      <c r="C35" s="8" t="n">
        <v>-76528</v>
      </c>
    </row>
    <row r="36" customFormat="false" ht="15" hidden="false" customHeight="true" outlineLevel="0" collapsed="false">
      <c r="A36" s="7" t="s">
        <v>134</v>
      </c>
      <c r="B36" s="10" t="n">
        <v>46299</v>
      </c>
      <c r="C36" s="10" t="n">
        <v>29761</v>
      </c>
    </row>
    <row r="37" customFormat="false" ht="15" hidden="false" customHeight="true" outlineLevel="0" collapsed="false">
      <c r="A37" s="7" t="s">
        <v>135</v>
      </c>
      <c r="B37" s="8" t="n">
        <v>47404</v>
      </c>
      <c r="C37" s="8" t="n">
        <v>27105</v>
      </c>
    </row>
    <row r="38" customFormat="false" ht="15" hidden="false" customHeight="true" outlineLevel="0" collapsed="false">
      <c r="A38" s="7" t="s">
        <v>136</v>
      </c>
      <c r="B38" s="10" t="n">
        <v>-1109</v>
      </c>
      <c r="C38" s="10" t="n">
        <v>-1089</v>
      </c>
    </row>
    <row r="39" customFormat="false" ht="15" hidden="false" customHeight="true" outlineLevel="0" collapsed="false">
      <c r="A39" s="13" t="s">
        <v>137</v>
      </c>
      <c r="B39" s="14" t="n">
        <v>-5775</v>
      </c>
      <c r="C39" s="14" t="n">
        <v>-20751</v>
      </c>
    </row>
    <row r="41" customFormat="false" ht="15" hidden="false" customHeight="true" outlineLevel="0" collapsed="false">
      <c r="A41" s="7" t="s">
        <v>138</v>
      </c>
      <c r="B41" s="8" t="n">
        <v>63</v>
      </c>
      <c r="C41" s="8" t="n">
        <v>22</v>
      </c>
    </row>
    <row r="42" customFormat="false" ht="15" hidden="false" customHeight="true" outlineLevel="0" collapsed="false">
      <c r="A42" s="13" t="s">
        <v>139</v>
      </c>
      <c r="B42" s="14" t="n">
        <v>3814</v>
      </c>
      <c r="C42" s="14" t="n">
        <v>-12251</v>
      </c>
    </row>
    <row r="43" customFormat="false" ht="15" hidden="false" customHeight="true" outlineLevel="0" collapsed="false">
      <c r="A43" s="7" t="s">
        <v>140</v>
      </c>
      <c r="B43" s="8" t="n">
        <v>8565</v>
      </c>
      <c r="C43" s="8" t="n">
        <v>20816</v>
      </c>
    </row>
    <row r="44" customFormat="false" ht="15" hidden="false" customHeight="true" outlineLevel="0" collapsed="false">
      <c r="A44" s="13" t="s">
        <v>141</v>
      </c>
      <c r="B44" s="14" t="n">
        <v>12379</v>
      </c>
      <c r="C44" s="14" t="n">
        <v>8565</v>
      </c>
    </row>
    <row r="46" customFormat="false" ht="15" hidden="false" customHeight="true" outlineLevel="0" collapsed="false">
      <c r="A46" s="6" t="s">
        <v>142</v>
      </c>
    </row>
    <row r="47" customFormat="false" ht="15" hidden="false" customHeight="true" outlineLevel="0" collapsed="false">
      <c r="A47" s="7" t="s">
        <v>143</v>
      </c>
      <c r="B47" s="8" t="n">
        <v>33975</v>
      </c>
      <c r="C47" s="8" t="n">
        <v>38038</v>
      </c>
    </row>
    <row r="48" customFormat="false" ht="15" hidden="false" customHeight="true" outlineLevel="0" collapsed="false">
      <c r="A48" s="7" t="s">
        <v>144</v>
      </c>
      <c r="B48" s="10" t="n">
        <v>46993</v>
      </c>
      <c r="C48" s="10" t="n">
        <v>49761</v>
      </c>
    </row>
    <row r="49" customFormat="false" ht="15" hidden="false" customHeight="true" outlineLevel="0" collapsed="false">
      <c r="A49" s="7" t="s">
        <v>145</v>
      </c>
      <c r="B49" s="8" t="n">
        <v>1812</v>
      </c>
      <c r="C49" s="8" t="n">
        <v>1713</v>
      </c>
    </row>
    <row r="50" customFormat="false" ht="15" hidden="false" customHeight="true" outlineLevel="0" collapsed="false">
      <c r="A50" s="7" t="s">
        <v>146</v>
      </c>
      <c r="B50" s="10" t="n">
        <v>3231</v>
      </c>
      <c r="C50" s="10" t="n">
        <v>2513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147</v>
      </c>
      <c r="B3" s="4"/>
      <c r="C3" s="4"/>
      <c r="D3" s="4"/>
    </row>
    <row r="5" customFormat="false" ht="15" hidden="false" customHeight="true" outlineLevel="0" collapsed="false">
      <c r="A5" s="5" t="s">
        <v>148</v>
      </c>
      <c r="B5" s="5" t="s">
        <v>4</v>
      </c>
      <c r="C5" s="5" t="s">
        <v>5</v>
      </c>
      <c r="D5" s="5" t="s">
        <v>149</v>
      </c>
    </row>
    <row r="6" customFormat="false" ht="15" hidden="false" customHeight="true" outlineLevel="0" collapsed="false">
      <c r="A6" s="6" t="s">
        <v>150</v>
      </c>
    </row>
    <row r="7" customFormat="false" ht="15" hidden="false" customHeight="true" outlineLevel="0" collapsed="false">
      <c r="A7" s="7" t="s">
        <v>151</v>
      </c>
      <c r="B7" s="18" t="n">
        <f aca="false">'Income Statement'!B56</f>
        <v>8454</v>
      </c>
      <c r="C7" s="18" t="n">
        <f aca="false">'Income Statement'!C56</f>
        <v>7154</v>
      </c>
      <c r="D7" s="9" t="n">
        <f aca="false">IF(C7=0,"-",B7/C7-1)</f>
        <v>0.181716522225329</v>
      </c>
    </row>
    <row r="8" customFormat="false" ht="15" hidden="false" customHeight="true" outlineLevel="0" collapsed="false">
      <c r="A8" s="7" t="s">
        <v>152</v>
      </c>
      <c r="B8" s="19" t="n">
        <f aca="false">'Income Statement'!B39</f>
        <v>29133</v>
      </c>
      <c r="C8" s="19" t="n">
        <f aca="false">'Income Statement'!C39</f>
        <v>25606</v>
      </c>
      <c r="D8" s="11" t="n">
        <f aca="false">IF(C8=0,"-",B8/C8-1)</f>
        <v>0.137741154416934</v>
      </c>
    </row>
    <row r="9" customFormat="false" ht="15" hidden="false" customHeight="true" outlineLevel="0" collapsed="false">
      <c r="A9" s="7" t="s">
        <v>153</v>
      </c>
      <c r="B9" s="18" t="n">
        <f aca="false">'Income Statement'!B21</f>
        <v>15769</v>
      </c>
      <c r="C9" s="18" t="n">
        <f aca="false">'Income Statement'!C21</f>
        <v>13695</v>
      </c>
      <c r="D9" s="9" t="n">
        <f aca="false">IF(C9=0,"-",B9/C9-1)</f>
        <v>0.151442132165024</v>
      </c>
    </row>
    <row r="10" customFormat="false" ht="15" hidden="false" customHeight="true" outlineLevel="0" collapsed="false">
      <c r="A10" s="7" t="s">
        <v>154</v>
      </c>
      <c r="B10" s="19" t="n">
        <f aca="false">'Income Statement'!B37</f>
        <v>13364</v>
      </c>
      <c r="C10" s="19" t="n">
        <f aca="false">'Income Statement'!C37</f>
        <v>11911</v>
      </c>
      <c r="D10" s="11" t="n">
        <f aca="false">IF(C10=0,"-",B10/C10-1)</f>
        <v>0.121988078246999</v>
      </c>
    </row>
    <row r="11" customFormat="false" ht="15" hidden="false" customHeight="true" outlineLevel="0" collapsed="false">
      <c r="A11" s="7" t="s">
        <v>103</v>
      </c>
      <c r="B11" s="18" t="n">
        <f aca="false">'Income Statement'!B64</f>
        <v>8.62</v>
      </c>
      <c r="C11" s="18" t="n">
        <f aca="false">'Income Statement'!C64</f>
        <v>7.29</v>
      </c>
      <c r="D11" s="9" t="n">
        <f aca="false">IF(C11=0,"-",B11/C11-1)</f>
        <v>0.182441700960219</v>
      </c>
    </row>
    <row r="12" customFormat="false" ht="15" hidden="false" customHeight="true" outlineLevel="0" collapsed="false">
      <c r="A12" s="7" t="s">
        <v>104</v>
      </c>
      <c r="B12" s="19" t="n">
        <f aca="false">'Income Statement'!B65</f>
        <v>8.57</v>
      </c>
      <c r="C12" s="19" t="n">
        <f aca="false">'Income Statement'!C65</f>
        <v>7.28</v>
      </c>
      <c r="D12" s="11" t="n">
        <f aca="false">IF(C12=0,"-",B12/C12-1)</f>
        <v>0.177197802197802</v>
      </c>
    </row>
    <row r="13" customFormat="false" ht="15" hidden="false" customHeight="true" outlineLevel="0" collapsed="false">
      <c r="A13" s="7" t="s">
        <v>155</v>
      </c>
      <c r="B13" s="18" t="n">
        <f aca="false">'Income Statement'!B66</f>
        <v>3.88</v>
      </c>
      <c r="C13" s="18" t="n">
        <f aca="false">'Income Statement'!C66</f>
        <v>3.6</v>
      </c>
      <c r="D13" s="9" t="n">
        <f aca="false">IF(C13=0,"-",B13/C13-1)</f>
        <v>0.0777777777777777</v>
      </c>
    </row>
    <row r="15" customFormat="false" ht="15" hidden="false" customHeight="true" outlineLevel="0" collapsed="false">
      <c r="A15" s="6" t="s">
        <v>156</v>
      </c>
    </row>
    <row r="16" customFormat="false" ht="15" hidden="false" customHeight="true" outlineLevel="0" collapsed="false">
      <c r="A16" s="7" t="s">
        <v>157</v>
      </c>
      <c r="B16" s="20" t="n">
        <f aca="false">'Income Statement'!B21/'Balance Sheet'!B31</f>
        <v>0.0141180620589505</v>
      </c>
      <c r="C16" s="20" t="n">
        <f aca="false">'Income Statement'!C21/'Balance Sheet'!C31</f>
        <v>0.0131431834431398</v>
      </c>
    </row>
    <row r="17" customFormat="false" ht="15" hidden="false" customHeight="true" outlineLevel="0" collapsed="false">
      <c r="A17" s="7" t="s">
        <v>158</v>
      </c>
      <c r="B17" s="20" t="n">
        <f aca="false">'Income Statement'!B52/'Income Statement'!B39</f>
        <v>0.544125218824014</v>
      </c>
      <c r="C17" s="20" t="n">
        <f aca="false">'Income Statement'!C52/'Income Statement'!C39</f>
        <v>0.563891275482309</v>
      </c>
    </row>
    <row r="18" customFormat="false" ht="15" hidden="false" customHeight="true" outlineLevel="0" collapsed="false">
      <c r="A18" s="7" t="s">
        <v>159</v>
      </c>
      <c r="B18" s="19" t="n">
        <f aca="false">'Income Statement'!B41</f>
        <v>2342</v>
      </c>
      <c r="C18" s="19" t="n">
        <f aca="false">'Income Statement'!C41</f>
        <v>2001</v>
      </c>
      <c r="D18" s="11" t="n">
        <f aca="false">IF(C18=0,"-",B18/C18-1)</f>
        <v>0.170414792603698</v>
      </c>
    </row>
    <row r="19" customFormat="false" ht="15" hidden="false" customHeight="true" outlineLevel="0" collapsed="false">
      <c r="A19" s="7" t="s">
        <v>160</v>
      </c>
      <c r="B19" s="20" t="n">
        <f aca="false">'Income Statement'!B41/'Balance Sheet'!B19</f>
        <v>0.00397283139724243</v>
      </c>
      <c r="C19" s="20" t="n">
        <f aca="false">'Income Statement'!C41/'Balance Sheet'!C19</f>
        <v>0.00358414593080324</v>
      </c>
    </row>
    <row r="20" customFormat="false" ht="15" hidden="false" customHeight="true" outlineLevel="0" collapsed="false">
      <c r="A20" s="7" t="s">
        <v>161</v>
      </c>
      <c r="B20" s="20" t="n">
        <f aca="false">'Income Statement'!B55/'Income Statement'!B54</f>
        <v>0.227168845415486</v>
      </c>
      <c r="C20" s="20" t="n">
        <f aca="false">'Income Statement'!C55/'Income Statement'!C54</f>
        <v>0.219506873227144</v>
      </c>
    </row>
    <row r="22" customFormat="false" ht="15" hidden="false" customHeight="true" outlineLevel="0" collapsed="false">
      <c r="A22" s="6" t="s">
        <v>162</v>
      </c>
    </row>
    <row r="23" customFormat="false" ht="15" hidden="false" customHeight="true" outlineLevel="0" collapsed="false">
      <c r="A23" s="7" t="s">
        <v>163</v>
      </c>
      <c r="B23" s="8" t="n">
        <v>47718</v>
      </c>
      <c r="C23" s="8" t="n">
        <v>44516</v>
      </c>
      <c r="D23" s="9" t="n">
        <f aca="false">IF(C23=0,"-",B23/C23-1)</f>
        <v>0.0719291939976638</v>
      </c>
    </row>
    <row r="24" customFormat="false" ht="15" hidden="false" customHeight="true" outlineLevel="0" collapsed="false">
      <c r="A24" s="7" t="s">
        <v>164</v>
      </c>
      <c r="B24" s="10" t="n">
        <v>54105</v>
      </c>
      <c r="C24" s="10" t="n">
        <v>49481</v>
      </c>
      <c r="D24" s="11" t="n">
        <f aca="false">IF(C24=0,"-",B24/C24-1)</f>
        <v>0.0934500111153775</v>
      </c>
    </row>
    <row r="25" customFormat="false" ht="15" hidden="false" customHeight="true" outlineLevel="0" collapsed="false">
      <c r="A25" s="7" t="s">
        <v>165</v>
      </c>
      <c r="B25" s="8" t="n">
        <v>62287</v>
      </c>
      <c r="C25" s="8" t="n">
        <v>56809</v>
      </c>
      <c r="D25" s="9" t="n">
        <f aca="false">IF(C25=0,"-",B25/C25-1)</f>
        <v>0.0964283828266648</v>
      </c>
    </row>
    <row r="26" customFormat="false" ht="15" hidden="false" customHeight="true" outlineLevel="0" collapsed="false">
      <c r="A26" s="7" t="s">
        <v>166</v>
      </c>
      <c r="B26" s="10" t="n">
        <v>357803</v>
      </c>
      <c r="C26" s="10" t="n">
        <v>333502</v>
      </c>
      <c r="D26" s="11" t="n">
        <f aca="false">IF(C26=0,"-",B26/C26-1)</f>
        <v>0.0728661297383524</v>
      </c>
    </row>
    <row r="27" customFormat="false" ht="15" hidden="false" customHeight="true" outlineLevel="0" collapsed="false">
      <c r="A27" s="7" t="s">
        <v>167</v>
      </c>
      <c r="B27" s="21" t="n">
        <v>0.133</v>
      </c>
      <c r="C27" s="21" t="n">
        <v>0.133</v>
      </c>
      <c r="D27" s="9" t="n">
        <f aca="false">IF(C27=0,"-",B27/C27-1)</f>
        <v>0</v>
      </c>
    </row>
    <row r="28" customFormat="false" ht="15" hidden="false" customHeight="true" outlineLevel="0" collapsed="false">
      <c r="A28" s="7" t="s">
        <v>168</v>
      </c>
      <c r="B28" s="22" t="n">
        <v>0.151</v>
      </c>
      <c r="C28" s="22" t="n">
        <v>0.148</v>
      </c>
      <c r="D28" s="11" t="n">
        <f aca="false">IF(C28=0,"-",B28/C28-1)</f>
        <v>0.0202702702702704</v>
      </c>
    </row>
    <row r="29" customFormat="false" ht="15" hidden="false" customHeight="true" outlineLevel="0" collapsed="false">
      <c r="A29" s="7" t="s">
        <v>169</v>
      </c>
      <c r="B29" s="21" t="n">
        <v>0.174</v>
      </c>
      <c r="C29" s="21" t="n">
        <v>0.17</v>
      </c>
      <c r="D29" s="9" t="n">
        <f aca="false">IF(C29=0,"-",B29/C29-1)</f>
        <v>0.0235294117647058</v>
      </c>
    </row>
    <row r="30" customFormat="false" ht="15" hidden="false" customHeight="true" outlineLevel="0" collapsed="false">
      <c r="A30" s="7" t="s">
        <v>170</v>
      </c>
      <c r="B30" s="22" t="n">
        <v>0.043</v>
      </c>
      <c r="C30" s="22" t="n">
        <v>0.043</v>
      </c>
      <c r="D30" s="11" t="n">
        <f aca="false">IF(C30=0,"-",B30/C30-1)</f>
        <v>0</v>
      </c>
    </row>
    <row r="31" customFormat="false" ht="15" hidden="false" customHeight="true" outlineLevel="0" collapsed="false">
      <c r="A31" s="7" t="s">
        <v>171</v>
      </c>
      <c r="B31" s="21" t="n">
        <v>0.319</v>
      </c>
      <c r="C31" s="21" t="n">
        <v>0.303</v>
      </c>
      <c r="D31" s="9" t="n">
        <f aca="false">IF(C31=0,"-",B31/C31-1)</f>
        <v>0.0528052805280528</v>
      </c>
    </row>
    <row r="33" customFormat="false" ht="15" hidden="false" customHeight="true" outlineLevel="0" collapsed="false">
      <c r="A33" s="6" t="s">
        <v>172</v>
      </c>
    </row>
    <row r="34" customFormat="false" ht="15" hidden="false" customHeight="true" outlineLevel="0" collapsed="false">
      <c r="A34" s="7" t="s">
        <v>173</v>
      </c>
      <c r="B34" s="19" t="n">
        <f aca="false">'Balance Sheet'!B31</f>
        <v>1116938</v>
      </c>
      <c r="C34" s="19" t="n">
        <f aca="false">'Balance Sheet'!C31</f>
        <v>1041985</v>
      </c>
      <c r="D34" s="11" t="n">
        <f aca="false">IF(C34=0,"-",B34/C34-1)</f>
        <v>0.0719328973065831</v>
      </c>
    </row>
    <row r="35" customFormat="false" ht="15" hidden="false" customHeight="true" outlineLevel="0" collapsed="false">
      <c r="A35" s="7" t="s">
        <v>174</v>
      </c>
      <c r="B35" s="23" t="n">
        <f aca="false">'Balance Sheet'!B31</f>
        <v>1116938</v>
      </c>
      <c r="C35" s="23" t="n">
        <f aca="false">'Balance Sheet'!C31</f>
        <v>1041985</v>
      </c>
    </row>
    <row r="36" customFormat="false" ht="15" hidden="false" customHeight="true" outlineLevel="0" collapsed="false">
      <c r="A36" s="7" t="s">
        <v>175</v>
      </c>
      <c r="B36" s="10" t="n">
        <v>593896</v>
      </c>
      <c r="C36" s="10" t="n">
        <v>562209</v>
      </c>
      <c r="D36" s="11" t="n">
        <f aca="false">IF(C36=0,"-",B36/C36-1)</f>
        <v>0.0563616021799722</v>
      </c>
    </row>
    <row r="37" customFormat="false" ht="15" hidden="false" customHeight="true" outlineLevel="0" collapsed="false">
      <c r="A37" s="7" t="s">
        <v>176</v>
      </c>
      <c r="B37" s="18" t="n">
        <f aca="false">'Balance Sheet'!B39</f>
        <v>808124</v>
      </c>
      <c r="C37" s="18" t="n">
        <f aca="false">'Balance Sheet'!C39</f>
        <v>764857</v>
      </c>
      <c r="D37" s="9" t="n">
        <f aca="false">IF(C37=0,"-",B37/C37-1)</f>
        <v>0.0565687442227762</v>
      </c>
    </row>
    <row r="38" customFormat="false" ht="15" hidden="false" customHeight="true" outlineLevel="0" collapsed="false">
      <c r="A38" s="7" t="s">
        <v>177</v>
      </c>
      <c r="B38" s="23" t="n">
        <f aca="false">'Balance Sheet'!B62</f>
        <v>64413</v>
      </c>
      <c r="C38" s="23" t="n">
        <f aca="false">'Balance Sheet'!C62</f>
        <v>59007</v>
      </c>
    </row>
    <row r="39" customFormat="false" ht="15" hidden="false" customHeight="true" outlineLevel="0" collapsed="false">
      <c r="B39" s="20" t="n">
        <f aca="false">B36/B37</f>
        <v>0.734907019219823</v>
      </c>
      <c r="C39" s="20" t="n">
        <f aca="false">C36/C37</f>
        <v>0.73505112720417</v>
      </c>
    </row>
    <row r="40" customFormat="false" ht="15" hidden="false" customHeight="true" outlineLevel="0" collapsed="false">
      <c r="A40" s="6" t="s">
        <v>178</v>
      </c>
    </row>
    <row r="41" customFormat="false" ht="15" hidden="false" customHeight="true" outlineLevel="0" collapsed="false">
      <c r="A41" s="7" t="s">
        <v>179</v>
      </c>
      <c r="B41" s="8" t="n">
        <v>4392</v>
      </c>
      <c r="C41" s="8" t="n">
        <v>3917</v>
      </c>
      <c r="D41" s="9" t="n">
        <f aca="false">IF(C41=0,"-",B41/C41-1)</f>
        <v>0.12126627521062</v>
      </c>
    </row>
    <row r="42" customFormat="false" ht="15" hidden="false" customHeight="true" outlineLevel="0" collapsed="false">
      <c r="A42" s="7" t="s">
        <v>180</v>
      </c>
      <c r="B42" s="10" t="n">
        <v>982</v>
      </c>
      <c r="C42" s="10" t="n">
        <v>816</v>
      </c>
      <c r="D42" s="11" t="n">
        <f aca="false">IF(C42=0,"-",B42/C42-1)</f>
        <v>0.20343137254902</v>
      </c>
    </row>
    <row r="43" customFormat="false" ht="15" hidden="false" customHeight="true" outlineLevel="0" collapsed="false">
      <c r="A43" s="7" t="s">
        <v>181</v>
      </c>
      <c r="B43" s="8" t="n">
        <v>4739</v>
      </c>
      <c r="C43" s="8" t="n">
        <v>4114</v>
      </c>
      <c r="D43" s="9" t="n">
        <f aca="false">IF(C43=0,"-",B43/C43-1)</f>
        <v>0.151920272241128</v>
      </c>
    </row>
    <row r="44" customFormat="false" ht="15" hidden="false" customHeight="true" outlineLevel="0" collapsed="false">
      <c r="A44" s="7" t="s">
        <v>182</v>
      </c>
      <c r="B44" s="22" t="n">
        <v>0.007</v>
      </c>
      <c r="C44" s="22" t="n">
        <v>0.007</v>
      </c>
      <c r="D44" s="11" t="n">
        <f aca="false">IF(C44=0,"-",B44/C44-1)</f>
        <v>0</v>
      </c>
    </row>
    <row r="45" customFormat="false" ht="15" hidden="false" customHeight="true" outlineLevel="0" collapsed="false">
      <c r="A45" s="7" t="s">
        <v>183</v>
      </c>
      <c r="B45" s="8" t="n">
        <v>1315</v>
      </c>
      <c r="C45" s="8" t="n">
        <v>994</v>
      </c>
      <c r="D45" s="9" t="n">
        <f aca="false">IF(C45=0,"-",B45/C45-1)</f>
        <v>0.322937625754527</v>
      </c>
    </row>
    <row r="46" customFormat="false" ht="15" hidden="false" customHeight="true" outlineLevel="0" collapsed="false">
      <c r="A46" s="7" t="s">
        <v>184</v>
      </c>
      <c r="B46" s="10" t="n">
        <v>290</v>
      </c>
      <c r="C46" s="10" t="n">
        <v>292</v>
      </c>
      <c r="D46" s="11" t="n">
        <f aca="false">IF(C46=0,"-",B46/C46-1)</f>
        <v>-0.00684931506849318</v>
      </c>
    </row>
    <row r="47" customFormat="false" ht="15" hidden="false" customHeight="true" outlineLevel="0" collapsed="false">
      <c r="A47" s="7" t="s">
        <v>185</v>
      </c>
      <c r="B47" s="8" t="n">
        <v>2031</v>
      </c>
      <c r="C47" s="8" t="n">
        <v>1628</v>
      </c>
      <c r="D47" s="9" t="n">
        <f aca="false">IF(C47=0,"-",B47/C47-1)</f>
        <v>0.247542997542997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0"/>
    <col collapsed="false" customWidth="true" hidden="false" outlineLevel="0" max="8" min="3" style="1" width="16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186</v>
      </c>
      <c r="B3" s="4"/>
      <c r="C3" s="4"/>
      <c r="D3" s="4"/>
    </row>
    <row r="5" customFormat="false" ht="26.25" hidden="false" customHeight="true" outlineLevel="0" collapsed="false">
      <c r="A5" s="5" t="s">
        <v>187</v>
      </c>
      <c r="B5" s="5" t="s">
        <v>188</v>
      </c>
      <c r="C5" s="5" t="s">
        <v>189</v>
      </c>
      <c r="D5" s="5" t="s">
        <v>190</v>
      </c>
      <c r="E5" s="5" t="s">
        <v>191</v>
      </c>
      <c r="F5" s="5" t="s">
        <v>192</v>
      </c>
      <c r="G5" s="5" t="s">
        <v>193</v>
      </c>
    </row>
    <row r="6" customFormat="false" ht="15" hidden="false" customHeight="true" outlineLevel="0" collapsed="false">
      <c r="A6" s="24" t="n">
        <v>2025</v>
      </c>
      <c r="B6" s="25" t="s">
        <v>194</v>
      </c>
      <c r="C6" s="10" t="n">
        <v>12031</v>
      </c>
      <c r="D6" s="10" t="n">
        <v>1764</v>
      </c>
      <c r="E6" s="10" t="n">
        <v>3107</v>
      </c>
      <c r="F6" s="10" t="n">
        <v>339909</v>
      </c>
      <c r="G6" s="10" t="n">
        <v>6067</v>
      </c>
    </row>
    <row r="7" customFormat="false" ht="15" hidden="false" customHeight="true" outlineLevel="0" collapsed="false">
      <c r="A7" s="26" t="n">
        <v>2025</v>
      </c>
      <c r="B7" s="27" t="s">
        <v>195</v>
      </c>
      <c r="C7" s="8" t="n">
        <v>6902</v>
      </c>
      <c r="D7" s="8" t="n">
        <v>166</v>
      </c>
      <c r="E7" s="8" t="n">
        <v>2341</v>
      </c>
      <c r="F7" s="8" t="n">
        <v>103855</v>
      </c>
      <c r="G7" s="8" t="n">
        <v>3522</v>
      </c>
    </row>
    <row r="8" customFormat="false" ht="15" hidden="false" customHeight="true" outlineLevel="0" collapsed="false">
      <c r="A8" s="24" t="n">
        <v>2025</v>
      </c>
      <c r="B8" s="25" t="s">
        <v>196</v>
      </c>
      <c r="C8" s="10" t="n">
        <v>3216</v>
      </c>
      <c r="D8" s="10" t="n">
        <v>175</v>
      </c>
      <c r="E8" s="10" t="n">
        <v>958</v>
      </c>
      <c r="F8" s="10" t="n">
        <v>64415</v>
      </c>
      <c r="G8" s="10" t="n">
        <v>1861</v>
      </c>
    </row>
    <row r="9" customFormat="false" ht="15" hidden="false" customHeight="true" outlineLevel="0" collapsed="false">
      <c r="A9" s="26" t="n">
        <v>2025</v>
      </c>
      <c r="B9" s="27" t="s">
        <v>197</v>
      </c>
      <c r="C9" s="8" t="n">
        <v>6148</v>
      </c>
      <c r="D9" s="8" t="n">
        <v>208</v>
      </c>
      <c r="E9" s="8" t="n">
        <v>2273</v>
      </c>
      <c r="F9" s="8" t="n">
        <v>378541</v>
      </c>
      <c r="G9" s="8" t="n">
        <v>2855</v>
      </c>
    </row>
    <row r="10" customFormat="false" ht="15" hidden="false" customHeight="true" outlineLevel="0" collapsed="false">
      <c r="A10" s="24" t="n">
        <v>2025</v>
      </c>
      <c r="B10" s="25" t="s">
        <v>198</v>
      </c>
      <c r="C10" s="10" t="n">
        <v>836</v>
      </c>
      <c r="D10" s="10" t="n">
        <v>29</v>
      </c>
      <c r="E10" s="10" t="n">
        <v>-225</v>
      </c>
      <c r="F10" s="10" t="n">
        <v>217565</v>
      </c>
      <c r="G10" s="10" t="n">
        <v>1547</v>
      </c>
    </row>
    <row r="11" customFormat="false" ht="15" hidden="false" customHeight="true" outlineLevel="0" collapsed="false">
      <c r="A11" s="26" t="n">
        <v>2024</v>
      </c>
      <c r="B11" s="27" t="s">
        <v>194</v>
      </c>
      <c r="C11" s="8" t="n">
        <v>10942</v>
      </c>
      <c r="D11" s="8" t="n">
        <v>1233</v>
      </c>
      <c r="E11" s="8" t="n">
        <v>2905</v>
      </c>
      <c r="F11" s="8" t="n">
        <v>333793</v>
      </c>
      <c r="G11" s="8" t="n">
        <v>5706</v>
      </c>
    </row>
    <row r="12" customFormat="false" ht="15" hidden="false" customHeight="true" outlineLevel="0" collapsed="false">
      <c r="A12" s="24" t="n">
        <v>2024</v>
      </c>
      <c r="B12" s="25" t="s">
        <v>195</v>
      </c>
      <c r="C12" s="10" t="n">
        <v>6018</v>
      </c>
      <c r="D12" s="10" t="n">
        <v>123</v>
      </c>
      <c r="E12" s="10" t="n">
        <v>2063</v>
      </c>
      <c r="F12" s="10" t="n">
        <v>95536</v>
      </c>
      <c r="G12" s="10" t="n">
        <v>3066</v>
      </c>
    </row>
    <row r="13" customFormat="false" ht="15" hidden="false" customHeight="true" outlineLevel="0" collapsed="false">
      <c r="A13" s="26" t="n">
        <v>2024</v>
      </c>
      <c r="B13" s="27" t="s">
        <v>196</v>
      </c>
      <c r="C13" s="8" t="n">
        <v>2820</v>
      </c>
      <c r="D13" s="8" t="n">
        <v>560</v>
      </c>
      <c r="E13" s="8" t="n">
        <v>500</v>
      </c>
      <c r="F13" s="8" t="n">
        <v>60820</v>
      </c>
      <c r="G13" s="8" t="n">
        <v>1718</v>
      </c>
    </row>
    <row r="14" customFormat="false" ht="15" hidden="false" customHeight="true" outlineLevel="0" collapsed="false">
      <c r="A14" s="24" t="n">
        <v>2024</v>
      </c>
      <c r="B14" s="25" t="s">
        <v>197</v>
      </c>
      <c r="C14" s="10" t="n">
        <v>4800</v>
      </c>
      <c r="D14" s="10" t="n">
        <v>84</v>
      </c>
      <c r="E14" s="10" t="n">
        <v>1629</v>
      </c>
      <c r="F14" s="10" t="n">
        <v>315314</v>
      </c>
      <c r="G14" s="10" t="n">
        <v>2479</v>
      </c>
    </row>
    <row r="15" customFormat="false" ht="15" hidden="false" customHeight="true" outlineLevel="0" collapsed="false">
      <c r="A15" s="26" t="n">
        <v>2024</v>
      </c>
      <c r="B15" s="27" t="s">
        <v>198</v>
      </c>
      <c r="C15" s="8" t="n">
        <v>1026</v>
      </c>
      <c r="D15" s="8" t="n">
        <v>1</v>
      </c>
      <c r="E15" s="8" t="n">
        <v>57</v>
      </c>
      <c r="F15" s="8" t="n">
        <v>199670</v>
      </c>
      <c r="G15" s="8" t="n">
        <v>1470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6" min="3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199</v>
      </c>
      <c r="B3" s="4"/>
      <c r="C3" s="4"/>
      <c r="D3" s="4"/>
    </row>
    <row r="5" customFormat="false" ht="15" hidden="false" customHeight="true" outlineLevel="0" collapsed="false">
      <c r="A5" s="5" t="s">
        <v>187</v>
      </c>
      <c r="B5" s="5" t="s">
        <v>200</v>
      </c>
      <c r="C5" s="5" t="s">
        <v>189</v>
      </c>
      <c r="D5" s="5" t="s">
        <v>191</v>
      </c>
      <c r="E5" s="5" t="s">
        <v>192</v>
      </c>
      <c r="F5" s="5" t="s">
        <v>201</v>
      </c>
    </row>
    <row r="6" customFormat="false" ht="15" hidden="false" customHeight="true" outlineLevel="0" collapsed="false">
      <c r="A6" s="24" t="n">
        <v>2025</v>
      </c>
      <c r="B6" s="25" t="s">
        <v>202</v>
      </c>
      <c r="C6" s="10" t="n">
        <v>19273</v>
      </c>
      <c r="D6" s="10" t="n">
        <v>3946</v>
      </c>
      <c r="E6" s="10" t="n">
        <v>835506</v>
      </c>
      <c r="F6" s="10" t="n">
        <v>1290</v>
      </c>
    </row>
    <row r="7" customFormat="false" ht="15" hidden="false" customHeight="true" outlineLevel="0" collapsed="false">
      <c r="A7" s="26" t="n">
        <v>2025</v>
      </c>
      <c r="B7" s="27" t="s">
        <v>203</v>
      </c>
      <c r="C7" s="8" t="n">
        <v>5932</v>
      </c>
      <c r="D7" s="8" t="n">
        <v>2216</v>
      </c>
      <c r="E7" s="8" t="n">
        <v>189079</v>
      </c>
      <c r="F7" s="8" t="n">
        <v>754</v>
      </c>
    </row>
    <row r="8" customFormat="false" ht="15" hidden="false" customHeight="true" outlineLevel="0" collapsed="false">
      <c r="A8" s="24" t="n">
        <v>2025</v>
      </c>
      <c r="B8" s="25" t="s">
        <v>204</v>
      </c>
      <c r="C8" s="10" t="n">
        <v>2726</v>
      </c>
      <c r="D8" s="10" t="n">
        <v>1784</v>
      </c>
      <c r="E8" s="10" t="n">
        <v>55069</v>
      </c>
      <c r="F8" s="10" t="n">
        <v>232</v>
      </c>
    </row>
    <row r="9" customFormat="false" ht="15" hidden="false" customHeight="true" outlineLevel="0" collapsed="false">
      <c r="A9" s="26" t="n">
        <v>2025</v>
      </c>
      <c r="B9" s="27" t="s">
        <v>205</v>
      </c>
      <c r="C9" s="8" t="n">
        <v>1202</v>
      </c>
      <c r="D9" s="8" t="n">
        <v>508</v>
      </c>
      <c r="E9" s="8" t="n">
        <v>24631</v>
      </c>
      <c r="F9" s="8" t="n">
        <v>209</v>
      </c>
    </row>
    <row r="10" customFormat="false" ht="15" hidden="false" customHeight="true" outlineLevel="0" collapsed="false">
      <c r="A10" s="24" t="n">
        <v>2024</v>
      </c>
      <c r="B10" s="25" t="s">
        <v>202</v>
      </c>
      <c r="C10" s="10" t="n">
        <v>17344</v>
      </c>
      <c r="D10" s="10" t="n">
        <v>3621</v>
      </c>
      <c r="E10" s="10" t="n">
        <v>750500</v>
      </c>
      <c r="F10" s="10" t="n">
        <v>1284</v>
      </c>
    </row>
    <row r="11" customFormat="false" ht="15" hidden="false" customHeight="true" outlineLevel="0" collapsed="false">
      <c r="A11" s="26" t="n">
        <v>2024</v>
      </c>
      <c r="B11" s="27" t="s">
        <v>203</v>
      </c>
      <c r="C11" s="8" t="n">
        <v>4834</v>
      </c>
      <c r="D11" s="8" t="n">
        <v>1400</v>
      </c>
      <c r="E11" s="8" t="n">
        <v>177688</v>
      </c>
      <c r="F11" s="8" t="n">
        <v>422</v>
      </c>
    </row>
    <row r="12" customFormat="false" ht="15" hidden="false" customHeight="true" outlineLevel="0" collapsed="false">
      <c r="A12" s="24" t="n">
        <v>2024</v>
      </c>
      <c r="B12" s="25" t="s">
        <v>204</v>
      </c>
      <c r="C12" s="10" t="n">
        <v>2491</v>
      </c>
      <c r="D12" s="10" t="n">
        <v>1694</v>
      </c>
      <c r="E12" s="10" t="n">
        <v>52862</v>
      </c>
      <c r="F12" s="10" t="n">
        <v>125</v>
      </c>
    </row>
    <row r="13" customFormat="false" ht="15" hidden="false" customHeight="true" outlineLevel="0" collapsed="false">
      <c r="A13" s="26" t="n">
        <v>2024</v>
      </c>
      <c r="B13" s="27" t="s">
        <v>205</v>
      </c>
      <c r="C13" s="8" t="n">
        <v>937</v>
      </c>
      <c r="D13" s="8" t="n">
        <v>439</v>
      </c>
      <c r="E13" s="8" t="n">
        <v>24083</v>
      </c>
      <c r="F13" s="8" t="n">
        <v>181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8" min="3" style="1" width="16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206</v>
      </c>
      <c r="B3" s="4"/>
      <c r="C3" s="4"/>
      <c r="D3" s="4"/>
    </row>
    <row r="5" customFormat="false" ht="15" hidden="false" customHeight="true" outlineLevel="0" collapsed="false">
      <c r="A5" s="5" t="s">
        <v>187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211</v>
      </c>
      <c r="G5" s="5" t="s">
        <v>212</v>
      </c>
      <c r="H5" s="5" t="s">
        <v>213</v>
      </c>
    </row>
    <row r="6" customFormat="false" ht="15" hidden="false" customHeight="true" outlineLevel="0" collapsed="false">
      <c r="A6" s="24" t="n">
        <v>2025</v>
      </c>
      <c r="B6" s="25" t="s">
        <v>214</v>
      </c>
      <c r="C6" s="10" t="n">
        <v>287033</v>
      </c>
      <c r="D6" s="10" t="n">
        <v>272458</v>
      </c>
      <c r="E6" s="10" t="n">
        <v>13260</v>
      </c>
      <c r="F6" s="10" t="n">
        <v>1315</v>
      </c>
      <c r="G6" s="10" t="n">
        <v>574</v>
      </c>
      <c r="H6" s="22" t="n">
        <v>0.002</v>
      </c>
    </row>
    <row r="7" customFormat="false" ht="15" hidden="false" customHeight="true" outlineLevel="0" collapsed="false">
      <c r="A7" s="26" t="n">
        <v>2025</v>
      </c>
      <c r="B7" s="27" t="s">
        <v>215</v>
      </c>
      <c r="C7" s="8" t="n">
        <v>47866</v>
      </c>
      <c r="D7" s="8" t="n">
        <v>41554</v>
      </c>
      <c r="E7" s="8" t="n">
        <v>6022</v>
      </c>
      <c r="F7" s="8" t="n">
        <v>290</v>
      </c>
      <c r="G7" s="8" t="n">
        <v>1156</v>
      </c>
      <c r="H7" s="21" t="n">
        <v>0.024</v>
      </c>
    </row>
    <row r="8" customFormat="false" ht="15" hidden="false" customHeight="true" outlineLevel="0" collapsed="false">
      <c r="A8" s="24" t="n">
        <v>2025</v>
      </c>
      <c r="B8" s="25" t="s">
        <v>216</v>
      </c>
      <c r="C8" s="10" t="n">
        <v>21581</v>
      </c>
      <c r="D8" s="10" t="n">
        <v>19485</v>
      </c>
      <c r="E8" s="10" t="n">
        <v>2096</v>
      </c>
      <c r="F8" s="10" t="n">
        <v>0</v>
      </c>
      <c r="G8" s="10" t="n">
        <v>942</v>
      </c>
      <c r="H8" s="22" t="n">
        <v>0.044</v>
      </c>
    </row>
    <row r="9" customFormat="false" ht="15" hidden="false" customHeight="true" outlineLevel="0" collapsed="false">
      <c r="A9" s="26" t="n">
        <v>2025</v>
      </c>
      <c r="B9" s="27" t="s">
        <v>217</v>
      </c>
      <c r="C9" s="8" t="n">
        <v>237416</v>
      </c>
      <c r="D9" s="8" t="n">
        <v>221790</v>
      </c>
      <c r="E9" s="8" t="n">
        <v>13595</v>
      </c>
      <c r="F9" s="8" t="n">
        <v>2031</v>
      </c>
      <c r="G9" s="8" t="n">
        <v>1720</v>
      </c>
      <c r="H9" s="21" t="n">
        <v>0.007</v>
      </c>
    </row>
    <row r="10" customFormat="false" ht="15" hidden="false" customHeight="true" outlineLevel="0" collapsed="false">
      <c r="A10" s="24" t="n">
        <v>2024</v>
      </c>
      <c r="B10" s="25" t="s">
        <v>214</v>
      </c>
      <c r="C10" s="10" t="n">
        <v>280672</v>
      </c>
      <c r="D10" s="10" t="n">
        <v>255657</v>
      </c>
      <c r="E10" s="10" t="n">
        <v>24021</v>
      </c>
      <c r="F10" s="10" t="n">
        <v>994</v>
      </c>
      <c r="G10" s="10" t="n">
        <v>449</v>
      </c>
      <c r="H10" s="22" t="n">
        <v>0.002</v>
      </c>
    </row>
    <row r="11" customFormat="false" ht="15" hidden="false" customHeight="true" outlineLevel="0" collapsed="false">
      <c r="A11" s="26" t="n">
        <v>2024</v>
      </c>
      <c r="B11" s="27" t="s">
        <v>215</v>
      </c>
      <c r="C11" s="8" t="n">
        <v>46681</v>
      </c>
      <c r="D11" s="8" t="n">
        <v>41967</v>
      </c>
      <c r="E11" s="8" t="n">
        <v>4422</v>
      </c>
      <c r="F11" s="8" t="n">
        <v>292</v>
      </c>
      <c r="G11" s="8" t="n">
        <v>942</v>
      </c>
      <c r="H11" s="21" t="n">
        <v>0.02</v>
      </c>
    </row>
    <row r="12" customFormat="false" ht="15" hidden="false" customHeight="true" outlineLevel="0" collapsed="false">
      <c r="A12" s="24" t="n">
        <v>2024</v>
      </c>
      <c r="B12" s="25" t="s">
        <v>216</v>
      </c>
      <c r="C12" s="10" t="n">
        <v>20551</v>
      </c>
      <c r="D12" s="10" t="n">
        <v>18507</v>
      </c>
      <c r="E12" s="10" t="n">
        <v>2044</v>
      </c>
      <c r="F12" s="10" t="n">
        <v>0</v>
      </c>
      <c r="G12" s="10" t="n">
        <v>902</v>
      </c>
      <c r="H12" s="22" t="n">
        <v>0.044</v>
      </c>
    </row>
    <row r="13" customFormat="false" ht="15" hidden="false" customHeight="true" outlineLevel="0" collapsed="false">
      <c r="A13" s="26" t="n">
        <v>2024</v>
      </c>
      <c r="B13" s="27" t="s">
        <v>217</v>
      </c>
      <c r="C13" s="8" t="n">
        <v>214305</v>
      </c>
      <c r="D13" s="8" t="n">
        <v>199195</v>
      </c>
      <c r="E13" s="8" t="n">
        <v>13482</v>
      </c>
      <c r="F13" s="8" t="n">
        <v>1628</v>
      </c>
      <c r="G13" s="8" t="n">
        <v>1624</v>
      </c>
      <c r="H13" s="21" t="n">
        <v>0.008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6" min="3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218</v>
      </c>
      <c r="B3" s="4"/>
      <c r="C3" s="4"/>
      <c r="D3" s="4"/>
    </row>
    <row r="5" customFormat="false" ht="26.25" hidden="false" customHeight="true" outlineLevel="0" collapsed="false">
      <c r="A5" s="5" t="s">
        <v>187</v>
      </c>
      <c r="B5" s="5" t="s">
        <v>219</v>
      </c>
      <c r="C5" s="5" t="s">
        <v>220</v>
      </c>
      <c r="D5" s="5" t="s">
        <v>221</v>
      </c>
      <c r="E5" s="5" t="s">
        <v>222</v>
      </c>
      <c r="F5" s="5" t="s">
        <v>223</v>
      </c>
    </row>
    <row r="6" customFormat="false" ht="15" hidden="false" customHeight="true" outlineLevel="0" collapsed="false">
      <c r="A6" s="24" t="n">
        <v>2025</v>
      </c>
      <c r="B6" s="25" t="s">
        <v>215</v>
      </c>
      <c r="C6" s="10" t="n">
        <v>15185</v>
      </c>
      <c r="D6" s="10" t="n">
        <v>145592</v>
      </c>
      <c r="E6" s="10" t="n">
        <v>97362</v>
      </c>
      <c r="F6" s="10" t="n">
        <v>258139</v>
      </c>
    </row>
    <row r="7" customFormat="false" ht="15" hidden="false" customHeight="true" outlineLevel="0" collapsed="false">
      <c r="A7" s="26" t="n">
        <v>2025</v>
      </c>
      <c r="B7" s="27" t="s">
        <v>217</v>
      </c>
      <c r="C7" s="8" t="n">
        <v>109376</v>
      </c>
      <c r="D7" s="8" t="n">
        <v>128092</v>
      </c>
      <c r="E7" s="8" t="n">
        <v>219816</v>
      </c>
      <c r="F7" s="8" t="n">
        <v>457284</v>
      </c>
    </row>
    <row r="8" customFormat="false" ht="15" hidden="false" customHeight="true" outlineLevel="0" collapsed="false">
      <c r="A8" s="24" t="n">
        <v>2025</v>
      </c>
      <c r="B8" s="25" t="s">
        <v>224</v>
      </c>
      <c r="C8" s="10" t="n">
        <v>17649</v>
      </c>
      <c r="D8" s="10" t="n">
        <v>337</v>
      </c>
      <c r="E8" s="10" t="n">
        <v>8737</v>
      </c>
      <c r="F8" s="10" t="n">
        <v>26723</v>
      </c>
    </row>
    <row r="9" customFormat="false" ht="15" hidden="false" customHeight="true" outlineLevel="0" collapsed="false">
      <c r="A9" s="26" t="n">
        <v>2025</v>
      </c>
      <c r="B9" s="27" t="s">
        <v>225</v>
      </c>
      <c r="C9" s="8" t="n">
        <v>0</v>
      </c>
      <c r="D9" s="8" t="n">
        <v>0</v>
      </c>
      <c r="E9" s="8" t="n">
        <v>65978</v>
      </c>
      <c r="F9" s="8" t="n">
        <v>65978</v>
      </c>
    </row>
    <row r="10" customFormat="false" ht="15" hidden="false" customHeight="true" outlineLevel="0" collapsed="false">
      <c r="A10" s="24" t="n">
        <v>2024</v>
      </c>
      <c r="B10" s="25" t="s">
        <v>215</v>
      </c>
      <c r="F10" s="10" t="n">
        <v>252894</v>
      </c>
    </row>
    <row r="11" customFormat="false" ht="15" hidden="false" customHeight="true" outlineLevel="0" collapsed="false">
      <c r="A11" s="26" t="n">
        <v>2024</v>
      </c>
      <c r="B11" s="27" t="s">
        <v>217</v>
      </c>
      <c r="F11" s="8" t="n">
        <v>435499</v>
      </c>
    </row>
    <row r="12" customFormat="false" ht="15" hidden="false" customHeight="true" outlineLevel="0" collapsed="false">
      <c r="A12" s="24" t="n">
        <v>2024</v>
      </c>
      <c r="B12" s="25" t="s">
        <v>224</v>
      </c>
      <c r="F12" s="10" t="n">
        <v>20009</v>
      </c>
    </row>
    <row r="13" customFormat="false" ht="15" hidden="false" customHeight="true" outlineLevel="0" collapsed="false">
      <c r="A13" s="26" t="n">
        <v>2024</v>
      </c>
      <c r="B13" s="27" t="s">
        <v>225</v>
      </c>
      <c r="F13" s="8" t="n">
        <v>56455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226</v>
      </c>
      <c r="B3" s="4"/>
      <c r="C3" s="4"/>
      <c r="D3" s="4"/>
    </row>
    <row r="5" customFormat="false" ht="26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227</v>
      </c>
    </row>
    <row r="6" customFormat="false" ht="15" hidden="false" customHeight="true" outlineLevel="0" collapsed="false">
      <c r="A6" s="6" t="s">
        <v>228</v>
      </c>
    </row>
    <row r="7" customFormat="false" ht="15" hidden="false" customHeight="true" outlineLevel="0" collapsed="false">
      <c r="A7" s="7" t="s">
        <v>229</v>
      </c>
      <c r="B7" s="8" t="n">
        <v>47718</v>
      </c>
      <c r="C7" s="8" t="n">
        <v>44516</v>
      </c>
    </row>
    <row r="8" customFormat="false" ht="15" hidden="false" customHeight="true" outlineLevel="0" collapsed="false">
      <c r="A8" s="7" t="s">
        <v>230</v>
      </c>
      <c r="B8" s="10" t="n">
        <v>54105</v>
      </c>
      <c r="C8" s="10" t="n">
        <v>49481</v>
      </c>
    </row>
    <row r="9" customFormat="false" ht="15" hidden="false" customHeight="true" outlineLevel="0" collapsed="false">
      <c r="A9" s="7" t="s">
        <v>231</v>
      </c>
      <c r="B9" s="8" t="n">
        <v>62287</v>
      </c>
      <c r="C9" s="8" t="n">
        <v>56809</v>
      </c>
    </row>
    <row r="10" customFormat="false" ht="15" hidden="false" customHeight="true" outlineLevel="0" collapsed="false">
      <c r="A10" s="7" t="s">
        <v>232</v>
      </c>
      <c r="B10" s="10" t="n">
        <v>357803</v>
      </c>
      <c r="C10" s="10" t="n">
        <v>333502</v>
      </c>
    </row>
    <row r="12" customFormat="false" ht="15" hidden="false" customHeight="true" outlineLevel="0" collapsed="false">
      <c r="A12" s="6" t="s">
        <v>233</v>
      </c>
    </row>
    <row r="13" customFormat="false" ht="15" hidden="false" customHeight="true" outlineLevel="0" collapsed="false">
      <c r="A13" s="7" t="s">
        <v>167</v>
      </c>
      <c r="B13" s="21" t="n">
        <v>0.133</v>
      </c>
      <c r="C13" s="21" t="n">
        <v>0.133</v>
      </c>
      <c r="D13" s="28" t="n">
        <v>0.115</v>
      </c>
    </row>
    <row r="14" customFormat="false" ht="15" hidden="false" customHeight="true" outlineLevel="0" collapsed="false">
      <c r="A14" s="7" t="s">
        <v>168</v>
      </c>
      <c r="B14" s="22" t="n">
        <v>0.151</v>
      </c>
      <c r="C14" s="22" t="n">
        <v>0.148</v>
      </c>
      <c r="D14" s="28" t="n">
        <v>0.13</v>
      </c>
    </row>
    <row r="15" customFormat="false" ht="15" hidden="false" customHeight="true" outlineLevel="0" collapsed="false">
      <c r="A15" s="7" t="s">
        <v>169</v>
      </c>
      <c r="B15" s="21" t="n">
        <v>0.174</v>
      </c>
      <c r="C15" s="21" t="n">
        <v>0.17</v>
      </c>
      <c r="D15" s="28" t="n">
        <v>0.15</v>
      </c>
    </row>
    <row r="17" customFormat="false" ht="15" hidden="false" customHeight="true" outlineLevel="0" collapsed="false">
      <c r="A17" s="6" t="s">
        <v>234</v>
      </c>
    </row>
    <row r="18" customFormat="false" ht="15" hidden="false" customHeight="true" outlineLevel="0" collapsed="false">
      <c r="A18" s="7" t="s">
        <v>235</v>
      </c>
      <c r="B18" s="10" t="n">
        <v>1261098</v>
      </c>
      <c r="C18" s="10" t="n">
        <v>1155432</v>
      </c>
    </row>
    <row r="19" customFormat="false" ht="15" hidden="false" customHeight="true" outlineLevel="0" collapsed="false">
      <c r="A19" s="7" t="s">
        <v>170</v>
      </c>
      <c r="B19" s="21" t="n">
        <v>0.043</v>
      </c>
      <c r="C19" s="21" t="n">
        <v>0.043</v>
      </c>
      <c r="D19" s="28" t="n">
        <v>0.035</v>
      </c>
    </row>
    <row r="21" customFormat="false" ht="15" hidden="false" customHeight="true" outlineLevel="0" collapsed="false">
      <c r="A21" s="6" t="s">
        <v>236</v>
      </c>
    </row>
    <row r="22" customFormat="false" ht="15" hidden="false" customHeight="true" outlineLevel="0" collapsed="false">
      <c r="A22" s="7" t="s">
        <v>237</v>
      </c>
      <c r="B22" s="10" t="n">
        <v>114102</v>
      </c>
      <c r="C22" s="10" t="n">
        <v>101062</v>
      </c>
    </row>
    <row r="23" customFormat="false" ht="15" hidden="false" customHeight="true" outlineLevel="0" collapsed="false">
      <c r="A23" s="7" t="s">
        <v>171</v>
      </c>
      <c r="B23" s="21" t="n">
        <v>0.319</v>
      </c>
      <c r="C23" s="21" t="n">
        <v>0.303</v>
      </c>
      <c r="D23" s="28" t="n">
        <v>0.25</v>
      </c>
    </row>
    <row r="24" customFormat="false" ht="15" hidden="false" customHeight="true" outlineLevel="0" collapsed="false">
      <c r="A24" s="7" t="s">
        <v>238</v>
      </c>
      <c r="B24" s="22" t="n">
        <v>0.09</v>
      </c>
      <c r="C24" s="22" t="n">
        <v>0.087</v>
      </c>
      <c r="D24" s="28" t="n">
        <v>0.0725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E0E2D"/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239</v>
      </c>
      <c r="B3" s="4"/>
      <c r="C3" s="4"/>
      <c r="D3" s="4"/>
    </row>
    <row r="5" customFormat="false" ht="15" hidden="false" customHeight="true" outlineLevel="0" collapsed="false">
      <c r="A5" s="5" t="s">
        <v>55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240</v>
      </c>
    </row>
    <row r="7" customFormat="false" ht="15" hidden="false" customHeight="true" outlineLevel="0" collapsed="false">
      <c r="A7" s="7" t="s">
        <v>241</v>
      </c>
      <c r="B7" s="8" t="n">
        <v>4946</v>
      </c>
      <c r="C7" s="8" t="n">
        <v>4925</v>
      </c>
    </row>
    <row r="8" customFormat="false" ht="15" hidden="false" customHeight="true" outlineLevel="0" collapsed="false">
      <c r="A8" s="7" t="s">
        <v>124</v>
      </c>
      <c r="B8" s="10" t="n">
        <v>2770</v>
      </c>
      <c r="C8" s="10" t="n">
        <v>1000</v>
      </c>
    </row>
    <row r="9" customFormat="false" ht="15" hidden="false" customHeight="true" outlineLevel="0" collapsed="false">
      <c r="A9" s="7" t="s">
        <v>125</v>
      </c>
      <c r="B9" s="8" t="n">
        <v>-1350</v>
      </c>
      <c r="C9" s="8" t="n">
        <v>-975</v>
      </c>
    </row>
    <row r="10" customFormat="false" ht="15" hidden="false" customHeight="true" outlineLevel="0" collapsed="false">
      <c r="A10" s="7" t="s">
        <v>242</v>
      </c>
      <c r="B10" s="10" t="n">
        <v>3</v>
      </c>
      <c r="C10" s="10" t="n">
        <v>-4</v>
      </c>
    </row>
    <row r="11" customFormat="false" ht="15" hidden="false" customHeight="true" outlineLevel="0" collapsed="false">
      <c r="A11" s="13" t="s">
        <v>243</v>
      </c>
      <c r="B11" s="14" t="n">
        <v>6369</v>
      </c>
      <c r="C11" s="14" t="n">
        <v>4946</v>
      </c>
    </row>
    <row r="13" customFormat="false" ht="15" hidden="false" customHeight="true" outlineLevel="0" collapsed="false">
      <c r="A13" s="6" t="s">
        <v>244</v>
      </c>
    </row>
    <row r="14" customFormat="false" ht="15" hidden="false" customHeight="true" outlineLevel="0" collapsed="false">
      <c r="A14" s="7" t="s">
        <v>241</v>
      </c>
      <c r="B14" s="10" t="n">
        <v>17011</v>
      </c>
      <c r="C14" s="10" t="n">
        <v>16082</v>
      </c>
    </row>
    <row r="15" customFormat="false" ht="15" hidden="false" customHeight="true" outlineLevel="0" collapsed="false">
      <c r="A15" s="7" t="s">
        <v>245</v>
      </c>
      <c r="B15" s="8" t="n">
        <v>168</v>
      </c>
      <c r="C15" s="8" t="n">
        <v>1019</v>
      </c>
    </row>
    <row r="16" customFormat="false" ht="15" hidden="false" customHeight="true" outlineLevel="0" collapsed="false">
      <c r="A16" s="7" t="s">
        <v>127</v>
      </c>
      <c r="B16" s="10" t="n">
        <v>-335</v>
      </c>
      <c r="C16" s="10" t="n">
        <v>-90</v>
      </c>
    </row>
    <row r="17" customFormat="false" ht="15" hidden="false" customHeight="true" outlineLevel="0" collapsed="false">
      <c r="A17" s="7" t="s">
        <v>242</v>
      </c>
      <c r="B17" s="8" t="n">
        <v>1</v>
      </c>
      <c r="C17" s="8" t="n">
        <v>0</v>
      </c>
    </row>
    <row r="18" customFormat="false" ht="15" hidden="false" customHeight="true" outlineLevel="0" collapsed="false">
      <c r="A18" s="13" t="s">
        <v>243</v>
      </c>
      <c r="B18" s="14" t="n">
        <v>16845</v>
      </c>
      <c r="C18" s="14" t="n">
        <v>17011</v>
      </c>
    </row>
    <row r="20" customFormat="false" ht="15" hidden="false" customHeight="true" outlineLevel="0" collapsed="false">
      <c r="A20" s="6" t="s">
        <v>246</v>
      </c>
    </row>
    <row r="21" customFormat="false" ht="15" hidden="false" customHeight="true" outlineLevel="0" collapsed="false">
      <c r="A21" s="7" t="s">
        <v>241</v>
      </c>
      <c r="B21" s="8" t="n">
        <v>33471</v>
      </c>
      <c r="C21" s="8" t="n">
        <v>30352</v>
      </c>
    </row>
    <row r="22" customFormat="false" ht="15" hidden="false" customHeight="true" outlineLevel="0" collapsed="false">
      <c r="A22" s="7" t="s">
        <v>102</v>
      </c>
      <c r="B22" s="10" t="n">
        <v>8429</v>
      </c>
      <c r="C22" s="10" t="n">
        <v>7115</v>
      </c>
    </row>
    <row r="23" customFormat="false" ht="15" hidden="false" customHeight="true" outlineLevel="0" collapsed="false">
      <c r="A23" s="7" t="s">
        <v>247</v>
      </c>
      <c r="B23" s="8" t="n">
        <v>-364</v>
      </c>
      <c r="C23" s="8" t="n">
        <v>-263</v>
      </c>
    </row>
    <row r="24" customFormat="false" ht="15" hidden="false" customHeight="true" outlineLevel="0" collapsed="false">
      <c r="A24" s="7" t="s">
        <v>248</v>
      </c>
      <c r="B24" s="10" t="n">
        <v>-3629</v>
      </c>
      <c r="C24" s="10" t="n">
        <v>-3382</v>
      </c>
    </row>
    <row r="25" customFormat="false" ht="15" hidden="false" customHeight="true" outlineLevel="0" collapsed="false">
      <c r="A25" s="7" t="s">
        <v>249</v>
      </c>
      <c r="B25" s="8" t="n">
        <v>-1396</v>
      </c>
      <c r="C25" s="8" t="n">
        <v>-329</v>
      </c>
    </row>
    <row r="26" customFormat="false" ht="15" hidden="false" customHeight="true" outlineLevel="0" collapsed="false">
      <c r="A26" s="7" t="s">
        <v>250</v>
      </c>
      <c r="B26" s="10" t="n">
        <v>-40</v>
      </c>
      <c r="C26" s="10" t="n">
        <v>-22</v>
      </c>
    </row>
    <row r="27" customFormat="false" ht="15" hidden="false" customHeight="true" outlineLevel="0" collapsed="false">
      <c r="A27" s="13" t="s">
        <v>243</v>
      </c>
      <c r="B27" s="14" t="n">
        <v>36471</v>
      </c>
      <c r="C27" s="14" t="n">
        <v>33471</v>
      </c>
    </row>
    <row r="29" customFormat="false" ht="15" hidden="false" customHeight="true" outlineLevel="0" collapsed="false">
      <c r="A29" s="13" t="s">
        <v>251</v>
      </c>
      <c r="B29" s="14" t="n">
        <v>4218</v>
      </c>
      <c r="C29" s="14" t="n">
        <v>3148</v>
      </c>
    </row>
    <row r="30" customFormat="false" ht="15" hidden="false" customHeight="true" outlineLevel="0" collapsed="false">
      <c r="A30" s="7" t="s">
        <v>51</v>
      </c>
      <c r="B30" s="10" t="n">
        <v>284</v>
      </c>
      <c r="C30" s="10" t="n">
        <v>272</v>
      </c>
    </row>
    <row r="31" customFormat="false" ht="15" hidden="false" customHeight="true" outlineLevel="0" collapsed="false">
      <c r="A31" s="13" t="s">
        <v>52</v>
      </c>
      <c r="B31" s="14" t="n">
        <v>64413</v>
      </c>
      <c r="C31" s="14" t="n">
        <v>59007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2026-03-24T15:18:17Z</dcterms:created>
  <dc:creator>openpyxl</dc:creator>
  <dc:description/>
  <dc:language>en-US</dc:language>
  <cp:lastModifiedBy/>
  <dcterms:modified xsi:type="dcterms:W3CDTF">2026-03-24T15:19:46Z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