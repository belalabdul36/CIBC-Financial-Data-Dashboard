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  <sheet name="KPI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<sst xmlns="http://schemas.openxmlformats.org/spreadsheetml/2006/main" count="155" uniqueCount="36">
  <si>
    <t xml:space="preserve">Month</t>
  </si>
  <si>
    <t xml:space="preserve">Month_Num</t>
  </si>
  <si>
    <t xml:space="preserve">Cost_Centre</t>
  </si>
  <si>
    <t xml:space="preserve">Revenue</t>
  </si>
  <si>
    <t xml:space="preserve">COGS</t>
  </si>
  <si>
    <t xml:space="preserve">Gross_Profit</t>
  </si>
  <si>
    <t xml:space="preserve">Operating_Expenses</t>
  </si>
  <si>
    <t xml:space="preserve">EBITDA</t>
  </si>
  <si>
    <t xml:space="preserve">Forecast_Revenue</t>
  </si>
  <si>
    <t xml:space="preserve">Forecast_OpEx</t>
  </si>
  <si>
    <t xml:space="preserve">Jan</t>
  </si>
  <si>
    <t xml:space="preserve">Operations</t>
  </si>
  <si>
    <t xml:space="preserve">Marketing</t>
  </si>
  <si>
    <t xml:space="preserve">Technology</t>
  </si>
  <si>
    <t xml:space="preserve">HR</t>
  </si>
  <si>
    <t xml:space="preserve">Finance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</si>
  <si>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</si>
  <si>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</si>
  <si>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</si>
  <si>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</si>
  <si>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</si>
  <si>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</si>
  <si>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</si>
  <si>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</si>
  <si>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</si>
  <si>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</si>
  <si>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</si>
  <si>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Total_Revenue</t>
  </si>
  <si>
    <t xml:space="preserve">Total_COGS</t>
  </si>
  <si>
    <t xml:space="preserve">Total_Gross_Profit</t>
  </si>
  <si>
    <t xml:space="preserve">Total_OpEx</t>
  </si>
  <si>
    <t xml:space="preserve">Total_EBITDA</t>
  </si>
  <si>
    <t xml:space="preserve">Gross_Margin_%</t>
  </si>
  <si>
    <t xml:space="preserve">EBITDA_Margin_%</t>
  </si>
  <si>
    <t xml:space="preserve">Revenue_vs_Forecast_%</t>
  </si>
  <si>
    <t xml:space="preserve">OpEx_vs_Forecast_%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</si>
</sst>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n">
        <v>1</v>
      </c>
      <c r="C2" s="0" t="s">
        <v>11</v>
      </c>
      <c r="D2" s="0" t="n">
        <v>183055</v>
      </c>
      <c r="E2" s="0" t="n">
        <v>69836</v>
      </c>
      <c r="F2" s="0" t="n">
        <f aca="false">D2-E2</f>
        <v>113219</v>
      </c>
      <c r="G2" s="0" t="n">
        <v>52883</v>
      </c>
      <c r="H2" s="0" t="n">
        <f aca="false">F2-G2</f>
        <v>60336</v>
      </c>
      <c r="I2" s="0" t="n">
        <v>180900</v>
      </c>
      <c r="J2" s="0" t="n">
        <v>52156</v>
      </c>
    </row>
    <row r="3" customFormat="false" ht="15" hidden="false" customHeight="false" outlineLevel="0" collapsed="false">
      <c r="A3" s="0" t="s">
        <v>10</v>
      </c>
      <c r="B3" s="0" t="n">
        <v>1</v>
      </c>
      <c r="C3" s="0" t="s">
        <v>12</v>
      </c>
      <c r="D3" s="0" t="n">
        <v>94881</v>
      </c>
      <c r="E3" s="0" t="n">
        <v>37325</v>
      </c>
      <c r="F3" s="0" t="n">
        <f aca="false">D3-E3</f>
        <v>57556</v>
      </c>
      <c r="G3" s="0" t="n">
        <v>37953</v>
      </c>
      <c r="H3" s="0" t="n">
        <f aca="false">F3-G3</f>
        <v>19603</v>
      </c>
      <c r="I3" s="0" t="n">
        <v>95475</v>
      </c>
      <c r="J3" s="0" t="n">
        <v>38114</v>
      </c>
    </row>
    <row r="4" customFormat="false" ht="15" hidden="false" customHeight="false" outlineLevel="0" collapsed="false">
      <c r="A4" s="0" t="s">
        <v>10</v>
      </c>
      <c r="B4" s="0" t="n">
        <v>1</v>
      </c>
      <c r="C4" s="0" t="s">
        <v>13</v>
      </c>
      <c r="D4" s="0" t="n">
        <v>143055</v>
      </c>
      <c r="E4" s="0" t="n">
        <v>60169</v>
      </c>
      <c r="F4" s="0" t="n">
        <f aca="false">D4-E4</f>
        <v>82886</v>
      </c>
      <c r="G4" s="0" t="n">
        <v>45982</v>
      </c>
      <c r="H4" s="0" t="n">
        <f aca="false">F4-G4</f>
        <v>36904</v>
      </c>
      <c r="I4" s="0" t="n">
        <v>140700</v>
      </c>
      <c r="J4" s="0" t="n">
        <v>45135</v>
      </c>
    </row>
    <row r="5" customFormat="false" ht="15" hidden="false" customHeight="false" outlineLevel="0" collapsed="false">
      <c r="A5" s="0" t="s">
        <v>10</v>
      </c>
      <c r="B5" s="0" t="n">
        <v>1</v>
      </c>
      <c r="C5" s="0" t="s">
        <v>14</v>
      </c>
      <c r="D5" s="0" t="n">
        <v>61777</v>
      </c>
      <c r="E5" s="0" t="n">
        <v>23798</v>
      </c>
      <c r="F5" s="0" t="n">
        <f aca="false">D5-E5</f>
        <v>37979</v>
      </c>
      <c r="G5" s="0" t="n">
        <v>28829</v>
      </c>
      <c r="H5" s="0" t="n">
        <f aca="false">F5-G5</f>
        <v>9150</v>
      </c>
      <c r="I5" s="0" t="n">
        <v>60300</v>
      </c>
      <c r="J5" s="0" t="n">
        <v>28084</v>
      </c>
    </row>
    <row r="6" customFormat="false" ht="15" hidden="false" customHeight="false" outlineLevel="0" collapsed="false">
      <c r="A6" s="0" t="s">
        <v>10</v>
      </c>
      <c r="B6" s="0" t="n">
        <v>1</v>
      </c>
      <c r="C6" s="0" t="s">
        <v>15</v>
      </c>
      <c r="D6" s="0" t="n">
        <v>75457</v>
      </c>
      <c r="E6" s="0" t="n">
        <v>28809</v>
      </c>
      <c r="F6" s="0" t="n">
        <f aca="false">D6-E6</f>
        <v>46648</v>
      </c>
      <c r="G6" s="0" t="n">
        <v>22134</v>
      </c>
      <c r="H6" s="0" t="n">
        <f aca="false">F6-G6</f>
        <v>24514</v>
      </c>
      <c r="I6" s="0" t="n">
        <v>75375</v>
      </c>
      <c r="J6" s="0" t="n">
        <v>22066</v>
      </c>
    </row>
    <row r="7" customFormat="false" ht="15" hidden="false" customHeight="false" outlineLevel="0" collapsed="false">
      <c r="A7" s="0" t="s">
        <v>16</v>
      </c>
      <c r="B7" s="0" t="n">
        <v>2</v>
      </c>
      <c r="C7" s="0" t="s">
        <v>11</v>
      </c>
      <c r="D7" s="0" t="n">
        <v>180168</v>
      </c>
      <c r="E7" s="0" t="n">
        <v>73927</v>
      </c>
      <c r="F7" s="0" t="n">
        <f aca="false">D7-E7</f>
        <v>106241</v>
      </c>
      <c r="G7" s="0" t="n">
        <v>52048</v>
      </c>
      <c r="H7" s="0" t="n">
        <f aca="false">F7-G7</f>
        <v>54193</v>
      </c>
      <c r="I7" s="0" t="n">
        <v>181800</v>
      </c>
      <c r="J7" s="0" t="n">
        <v>52312</v>
      </c>
    </row>
    <row r="8" customFormat="false" ht="15" hidden="false" customHeight="false" outlineLevel="0" collapsed="false">
      <c r="A8" s="0" t="s">
        <v>16</v>
      </c>
      <c r="B8" s="0" t="n">
        <v>2</v>
      </c>
      <c r="C8" s="0" t="s">
        <v>12</v>
      </c>
      <c r="D8" s="0" t="n">
        <v>94176</v>
      </c>
      <c r="E8" s="0" t="n">
        <v>36910</v>
      </c>
      <c r="F8" s="0" t="n">
        <f aca="false">D8-E8</f>
        <v>57266</v>
      </c>
      <c r="G8" s="0" t="n">
        <v>37670</v>
      </c>
      <c r="H8" s="0" t="n">
        <f aca="false">F8-G8</f>
        <v>19596</v>
      </c>
      <c r="I8" s="0" t="n">
        <v>95950</v>
      </c>
      <c r="J8" s="0" t="n">
        <v>38228</v>
      </c>
    </row>
    <row r="9" customFormat="false" ht="15" hidden="false" customHeight="false" outlineLevel="0" collapsed="false">
      <c r="A9" s="0" t="s">
        <v>16</v>
      </c>
      <c r="B9" s="0" t="n">
        <v>2</v>
      </c>
      <c r="C9" s="0" t="s">
        <v>13</v>
      </c>
      <c r="D9" s="0" t="n">
        <v>143149</v>
      </c>
      <c r="E9" s="0" t="n">
        <v>59077</v>
      </c>
      <c r="F9" s="0" t="n">
        <f aca="false">D9-E9</f>
        <v>84072</v>
      </c>
      <c r="G9" s="0" t="n">
        <v>46012</v>
      </c>
      <c r="H9" s="0" t="n">
        <f aca="false">F9-G9</f>
        <v>38060</v>
      </c>
      <c r="I9" s="0" t="n">
        <v>141400</v>
      </c>
      <c r="J9" s="0" t="n">
        <v>45270</v>
      </c>
    </row>
    <row r="10" customFormat="false" ht="15" hidden="false" customHeight="false" outlineLevel="0" collapsed="false">
      <c r="A10" s="0" t="s">
        <v>16</v>
      </c>
      <c r="B10" s="0" t="n">
        <v>2</v>
      </c>
      <c r="C10" s="0" t="s">
        <v>14</v>
      </c>
      <c r="D10" s="0" t="n">
        <v>60061</v>
      </c>
      <c r="E10" s="0" t="n">
        <v>24947</v>
      </c>
      <c r="F10" s="0" t="n">
        <f aca="false">D10-E10</f>
        <v>35114</v>
      </c>
      <c r="G10" s="0" t="n">
        <v>28029</v>
      </c>
      <c r="H10" s="0" t="n">
        <f aca="false">F10-G10</f>
        <v>7085</v>
      </c>
      <c r="I10" s="0" t="n">
        <v>60600</v>
      </c>
      <c r="J10" s="0" t="n">
        <v>28168</v>
      </c>
    </row>
    <row r="11" customFormat="false" ht="15" hidden="false" customHeight="false" outlineLevel="0" collapsed="false">
      <c r="A11" s="0" t="s">
        <v>16</v>
      </c>
      <c r="B11" s="0" t="n">
        <v>2</v>
      </c>
      <c r="C11" s="0" t="s">
        <v>15</v>
      </c>
      <c r="D11" s="0" t="n">
        <v>77285</v>
      </c>
      <c r="E11" s="0" t="n">
        <v>29398</v>
      </c>
      <c r="F11" s="0" t="n">
        <f aca="false">D11-E11</f>
        <v>47887</v>
      </c>
      <c r="G11" s="0" t="n">
        <v>22670</v>
      </c>
      <c r="H11" s="0" t="n">
        <f aca="false">F11-G11</f>
        <v>25217</v>
      </c>
      <c r="I11" s="0" t="n">
        <v>75750</v>
      </c>
      <c r="J11" s="0" t="n">
        <v>22132</v>
      </c>
    </row>
    <row r="12" customFormat="false" ht="15" hidden="false" customHeight="false" outlineLevel="0" collapsed="false">
      <c r="A12" s="0" t="s">
        <v>17</v>
      </c>
      <c r="B12" s="0" t="n">
        <v>3</v>
      </c>
      <c r="C12" s="0" t="s">
        <v>11</v>
      </c>
      <c r="D12" s="0" t="n">
        <v>186352</v>
      </c>
      <c r="E12" s="0" t="n">
        <v>78620</v>
      </c>
      <c r="F12" s="0" t="n">
        <f aca="false">D12-E12</f>
        <v>107732</v>
      </c>
      <c r="G12" s="0" t="n">
        <v>53835</v>
      </c>
      <c r="H12" s="0" t="n">
        <f aca="false">F12-G12</f>
        <v>53897</v>
      </c>
      <c r="I12" s="0" t="n">
        <v>182700</v>
      </c>
      <c r="J12" s="0" t="n">
        <v>52468</v>
      </c>
    </row>
    <row r="13" customFormat="false" ht="15" hidden="false" customHeight="false" outlineLevel="0" collapsed="false">
      <c r="A13" s="0" t="s">
        <v>17</v>
      </c>
      <c r="B13" s="0" t="n">
        <v>3</v>
      </c>
      <c r="C13" s="0" t="s">
        <v>12</v>
      </c>
      <c r="D13" s="0" t="n">
        <v>96141</v>
      </c>
      <c r="E13" s="0" t="n">
        <v>37430</v>
      </c>
      <c r="F13" s="0" t="n">
        <f aca="false">D13-E13</f>
        <v>58711</v>
      </c>
      <c r="G13" s="0" t="n">
        <v>38456</v>
      </c>
      <c r="H13" s="0" t="n">
        <f aca="false">F13-G13</f>
        <v>20255</v>
      </c>
      <c r="I13" s="0" t="n">
        <v>96425</v>
      </c>
      <c r="J13" s="0" t="n">
        <v>38342</v>
      </c>
    </row>
    <row r="14" customFormat="false" ht="15" hidden="false" customHeight="false" outlineLevel="0" collapsed="false">
      <c r="A14" s="0" t="s">
        <v>17</v>
      </c>
      <c r="B14" s="0" t="n">
        <v>3</v>
      </c>
      <c r="C14" s="0" t="s">
        <v>13</v>
      </c>
      <c r="D14" s="0" t="n">
        <v>146000</v>
      </c>
      <c r="E14" s="0" t="n">
        <v>58429</v>
      </c>
      <c r="F14" s="0" t="n">
        <f aca="false">D14-E14</f>
        <v>87571</v>
      </c>
      <c r="G14" s="0" t="n">
        <v>46929</v>
      </c>
      <c r="H14" s="0" t="n">
        <f aca="false">F14-G14</f>
        <v>40642</v>
      </c>
      <c r="I14" s="0" t="n">
        <v>142100</v>
      </c>
      <c r="J14" s="0" t="n">
        <v>45405</v>
      </c>
    </row>
    <row r="15" customFormat="false" ht="15" hidden="false" customHeight="false" outlineLevel="0" collapsed="false">
      <c r="A15" s="0" t="s">
        <v>17</v>
      </c>
      <c r="B15" s="0" t="n">
        <v>3</v>
      </c>
      <c r="C15" s="0" t="s">
        <v>14</v>
      </c>
      <c r="D15" s="0" t="n">
        <v>59978</v>
      </c>
      <c r="E15" s="0" t="n">
        <v>23140</v>
      </c>
      <c r="F15" s="0" t="n">
        <f aca="false">D15-E15</f>
        <v>36838</v>
      </c>
      <c r="G15" s="0" t="n">
        <v>27990</v>
      </c>
      <c r="H15" s="0" t="n">
        <f aca="false">F15-G15</f>
        <v>8848</v>
      </c>
      <c r="I15" s="0" t="n">
        <v>60900</v>
      </c>
      <c r="J15" s="0" t="n">
        <v>28252</v>
      </c>
    </row>
    <row r="16" customFormat="false" ht="15" hidden="false" customHeight="false" outlineLevel="0" collapsed="false">
      <c r="A16" s="0" t="s">
        <v>17</v>
      </c>
      <c r="B16" s="0" t="n">
        <v>3</v>
      </c>
      <c r="C16" s="0" t="s">
        <v>15</v>
      </c>
      <c r="D16" s="0" t="n">
        <v>77803</v>
      </c>
      <c r="E16" s="0" t="n">
        <v>32383</v>
      </c>
      <c r="F16" s="0" t="n">
        <f aca="false">D16-E16</f>
        <v>45420</v>
      </c>
      <c r="G16" s="0" t="n">
        <v>22822</v>
      </c>
      <c r="H16" s="0" t="n">
        <f aca="false">F16-G16</f>
        <v>22598</v>
      </c>
      <c r="I16" s="0" t="n">
        <v>76125</v>
      </c>
      <c r="J16" s="0" t="n">
        <v>22198</v>
      </c>
    </row>
    <row r="17" customFormat="false" ht="15" hidden="false" customHeight="false" outlineLevel="0" collapsed="false">
      <c r="A17" s="0" t="s">
        <v>18</v>
      </c>
      <c r="B17" s="0" t="n">
        <v>4</v>
      </c>
      <c r="C17" s="0" t="s">
        <v>11</v>
      </c>
      <c r="D17" s="0" t="n">
        <v>187264</v>
      </c>
      <c r="E17" s="0" t="n">
        <v>79359</v>
      </c>
      <c r="F17" s="0" t="n">
        <f aca="false">D17-E17</f>
        <v>107905</v>
      </c>
      <c r="G17" s="0" t="n">
        <v>54099</v>
      </c>
      <c r="H17" s="0" t="n">
        <f aca="false">F17-G17</f>
        <v>53806</v>
      </c>
      <c r="I17" s="0" t="n">
        <v>183600</v>
      </c>
      <c r="J17" s="0" t="n">
        <v>52624</v>
      </c>
    </row>
    <row r="18" customFormat="false" ht="15" hidden="false" customHeight="false" outlineLevel="0" collapsed="false">
      <c r="A18" s="0" t="s">
        <v>18</v>
      </c>
      <c r="B18" s="0" t="n">
        <v>4</v>
      </c>
      <c r="C18" s="0" t="s">
        <v>12</v>
      </c>
      <c r="D18" s="0" t="n">
        <v>97547</v>
      </c>
      <c r="E18" s="0" t="n">
        <v>42763</v>
      </c>
      <c r="F18" s="0" t="n">
        <f aca="false">D18-E18</f>
        <v>54784</v>
      </c>
      <c r="G18" s="0" t="n">
        <v>39019</v>
      </c>
      <c r="H18" s="0" t="n">
        <f aca="false">F18-G18</f>
        <v>15765</v>
      </c>
      <c r="I18" s="0" t="n">
        <v>96900</v>
      </c>
      <c r="J18" s="0" t="n">
        <v>38456</v>
      </c>
    </row>
    <row r="19" customFormat="false" ht="15" hidden="false" customHeight="false" outlineLevel="0" collapsed="false">
      <c r="A19" s="0" t="s">
        <v>18</v>
      </c>
      <c r="B19" s="0" t="n">
        <v>4</v>
      </c>
      <c r="C19" s="0" t="s">
        <v>13</v>
      </c>
      <c r="D19" s="0" t="n">
        <v>142650</v>
      </c>
      <c r="E19" s="0" t="n">
        <v>58932</v>
      </c>
      <c r="F19" s="0" t="n">
        <f aca="false">D19-E19</f>
        <v>83718</v>
      </c>
      <c r="G19" s="0" t="n">
        <v>45852</v>
      </c>
      <c r="H19" s="0" t="n">
        <f aca="false">F19-G19</f>
        <v>37866</v>
      </c>
      <c r="I19" s="0" t="n">
        <v>142800</v>
      </c>
      <c r="J19" s="0" t="n">
        <v>45540</v>
      </c>
    </row>
    <row r="20" customFormat="false" ht="15" hidden="false" customHeight="false" outlineLevel="0" collapsed="false">
      <c r="A20" s="0" t="s">
        <v>18</v>
      </c>
      <c r="B20" s="0" t="n">
        <v>4</v>
      </c>
      <c r="C20" s="0" t="s">
        <v>14</v>
      </c>
      <c r="D20" s="0" t="n">
        <v>62488</v>
      </c>
      <c r="E20" s="0" t="n">
        <v>26064</v>
      </c>
      <c r="F20" s="0" t="n">
        <f aca="false">D20-E20</f>
        <v>36424</v>
      </c>
      <c r="G20" s="0" t="n">
        <v>29161</v>
      </c>
      <c r="H20" s="0" t="n">
        <f aca="false">F20-G20</f>
        <v>7263</v>
      </c>
      <c r="I20" s="0" t="n">
        <v>61200</v>
      </c>
      <c r="J20" s="0" t="n">
        <v>28336</v>
      </c>
    </row>
    <row r="21" customFormat="false" ht="15" hidden="false" customHeight="false" outlineLevel="0" collapsed="false">
      <c r="A21" s="0" t="s">
        <v>18</v>
      </c>
      <c r="B21" s="0" t="n">
        <v>4</v>
      </c>
      <c r="C21" s="0" t="s">
        <v>15</v>
      </c>
      <c r="D21" s="0" t="n">
        <v>78231</v>
      </c>
      <c r="E21" s="0" t="n">
        <v>32438</v>
      </c>
      <c r="F21" s="0" t="n">
        <f aca="false">D21-E21</f>
        <v>45793</v>
      </c>
      <c r="G21" s="0" t="n">
        <v>22948</v>
      </c>
      <c r="H21" s="0" t="n">
        <f aca="false">F21-G21</f>
        <v>22845</v>
      </c>
      <c r="I21" s="0" t="n">
        <v>76500</v>
      </c>
      <c r="J21" s="0" t="n">
        <v>22264</v>
      </c>
    </row>
    <row r="22" customFormat="false" ht="15" hidden="false" customHeight="false" outlineLevel="0" collapsed="false">
      <c r="A22" s="0" t="s">
        <v>19</v>
      </c>
      <c r="B22" s="0" t="n">
        <v>5</v>
      </c>
      <c r="C22" s="0" t="s">
        <v>11</v>
      </c>
      <c r="D22" s="0" t="n">
        <v>187241</v>
      </c>
      <c r="E22" s="0" t="n">
        <v>71666</v>
      </c>
      <c r="F22" s="0" t="n">
        <f aca="false">D22-E22</f>
        <v>115575</v>
      </c>
      <c r="G22" s="0" t="n">
        <v>54092</v>
      </c>
      <c r="H22" s="0" t="n">
        <f aca="false">F22-G22</f>
        <v>61483</v>
      </c>
      <c r="I22" s="0" t="n">
        <v>184500</v>
      </c>
      <c r="J22" s="0" t="n">
        <v>52780</v>
      </c>
    </row>
    <row r="23" customFormat="false" ht="15" hidden="false" customHeight="false" outlineLevel="0" collapsed="false">
      <c r="A23" s="0" t="s">
        <v>19</v>
      </c>
      <c r="B23" s="0" t="n">
        <v>5</v>
      </c>
      <c r="C23" s="0" t="s">
        <v>12</v>
      </c>
      <c r="D23" s="0" t="n">
        <v>96558</v>
      </c>
      <c r="E23" s="0" t="n">
        <v>38369</v>
      </c>
      <c r="F23" s="0" t="n">
        <f aca="false">D23-E23</f>
        <v>58189</v>
      </c>
      <c r="G23" s="0" t="n">
        <v>38623</v>
      </c>
      <c r="H23" s="0" t="n">
        <f aca="false">F23-G23</f>
        <v>19566</v>
      </c>
      <c r="I23" s="0" t="n">
        <v>97375</v>
      </c>
      <c r="J23" s="0" t="n">
        <v>38570</v>
      </c>
    </row>
    <row r="24" customFormat="false" ht="15" hidden="false" customHeight="false" outlineLevel="0" collapsed="false">
      <c r="A24" s="0" t="s">
        <v>19</v>
      </c>
      <c r="B24" s="0" t="n">
        <v>5</v>
      </c>
      <c r="C24" s="0" t="s">
        <v>13</v>
      </c>
      <c r="D24" s="0" t="n">
        <v>141259</v>
      </c>
      <c r="E24" s="0" t="n">
        <v>55651</v>
      </c>
      <c r="F24" s="0" t="n">
        <f aca="false">D24-E24</f>
        <v>85608</v>
      </c>
      <c r="G24" s="0" t="n">
        <v>45405</v>
      </c>
      <c r="H24" s="0" t="n">
        <f aca="false">F24-G24</f>
        <v>40203</v>
      </c>
      <c r="I24" s="0" t="n">
        <v>143500</v>
      </c>
      <c r="J24" s="0" t="n">
        <v>45675</v>
      </c>
    </row>
    <row r="25" customFormat="false" ht="15" hidden="false" customHeight="false" outlineLevel="0" collapsed="false">
      <c r="A25" s="0" t="s">
        <v>19</v>
      </c>
      <c r="B25" s="0" t="n">
        <v>5</v>
      </c>
      <c r="C25" s="0" t="s">
        <v>14</v>
      </c>
      <c r="D25" s="0" t="n">
        <v>60603</v>
      </c>
      <c r="E25" s="0" t="n">
        <v>24040</v>
      </c>
      <c r="F25" s="0" t="n">
        <f aca="false">D25-E25</f>
        <v>36563</v>
      </c>
      <c r="G25" s="0" t="n">
        <v>28281</v>
      </c>
      <c r="H25" s="0" t="n">
        <f aca="false">F25-G25</f>
        <v>8282</v>
      </c>
      <c r="I25" s="0" t="n">
        <v>61500</v>
      </c>
      <c r="J25" s="0" t="n">
        <v>28420</v>
      </c>
    </row>
    <row r="26" customFormat="false" ht="15" hidden="false" customHeight="false" outlineLevel="0" collapsed="false">
      <c r="A26" s="0" t="s">
        <v>19</v>
      </c>
      <c r="B26" s="0" t="n">
        <v>5</v>
      </c>
      <c r="C26" s="0" t="s">
        <v>15</v>
      </c>
      <c r="D26" s="0" t="n">
        <v>77759</v>
      </c>
      <c r="E26" s="0" t="n">
        <v>31251</v>
      </c>
      <c r="F26" s="0" t="n">
        <f aca="false">D26-E26</f>
        <v>46508</v>
      </c>
      <c r="G26" s="0" t="n">
        <v>22809</v>
      </c>
      <c r="H26" s="0" t="n">
        <f aca="false">F26-G26</f>
        <v>23699</v>
      </c>
      <c r="I26" s="0" t="n">
        <v>76875</v>
      </c>
      <c r="J26" s="0" t="n">
        <v>22330</v>
      </c>
    </row>
    <row r="27" customFormat="false" ht="15" hidden="false" customHeight="false" outlineLevel="0" collapsed="false">
      <c r="A27" s="0" t="s">
        <v>20</v>
      </c>
      <c r="B27" s="0" t="n">
        <v>6</v>
      </c>
      <c r="C27" s="0" t="s">
        <v>11</v>
      </c>
      <c r="D27" s="0" t="n">
        <v>185132</v>
      </c>
      <c r="E27" s="0" t="n">
        <v>72677</v>
      </c>
      <c r="F27" s="0" t="n">
        <f aca="false">D27-E27</f>
        <v>112455</v>
      </c>
      <c r="G27" s="0" t="n">
        <v>60970</v>
      </c>
      <c r="H27" s="0" t="n">
        <f aca="false">F27-G27</f>
        <v>51485</v>
      </c>
      <c r="I27" s="0" t="n">
        <v>185400</v>
      </c>
      <c r="J27" s="0" t="n">
        <v>52936</v>
      </c>
    </row>
    <row r="28" customFormat="false" ht="15" hidden="false" customHeight="false" outlineLevel="0" collapsed="false">
      <c r="A28" s="0" t="s">
        <v>20</v>
      </c>
      <c r="B28" s="0" t="n">
        <v>6</v>
      </c>
      <c r="C28" s="0" t="s">
        <v>12</v>
      </c>
      <c r="D28" s="0" t="n">
        <v>97218</v>
      </c>
      <c r="E28" s="0" t="n">
        <v>42406</v>
      </c>
      <c r="F28" s="0" t="n">
        <f aca="false">D28-E28</f>
        <v>54812</v>
      </c>
      <c r="G28" s="0" t="n">
        <v>38887</v>
      </c>
      <c r="H28" s="0" t="n">
        <f aca="false">F28-G28</f>
        <v>15925</v>
      </c>
      <c r="I28" s="0" t="n">
        <v>97850</v>
      </c>
      <c r="J28" s="0" t="n">
        <v>38684</v>
      </c>
    </row>
    <row r="29" customFormat="false" ht="15" hidden="false" customHeight="false" outlineLevel="0" collapsed="false">
      <c r="A29" s="0" t="s">
        <v>20</v>
      </c>
      <c r="B29" s="0" t="n">
        <v>6</v>
      </c>
      <c r="C29" s="0" t="s">
        <v>13</v>
      </c>
      <c r="D29" s="0" t="n">
        <v>145936</v>
      </c>
      <c r="E29" s="0" t="n">
        <v>60789</v>
      </c>
      <c r="F29" s="0" t="n">
        <f aca="false">D29-E29</f>
        <v>85147</v>
      </c>
      <c r="G29" s="0" t="n">
        <v>46908</v>
      </c>
      <c r="H29" s="0" t="n">
        <f aca="false">F29-G29</f>
        <v>38239</v>
      </c>
      <c r="I29" s="0" t="n">
        <v>144200</v>
      </c>
      <c r="J29" s="0" t="n">
        <v>45810</v>
      </c>
    </row>
    <row r="30" customFormat="false" ht="15" hidden="false" customHeight="false" outlineLevel="0" collapsed="false">
      <c r="A30" s="0" t="s">
        <v>20</v>
      </c>
      <c r="B30" s="0" t="n">
        <v>6</v>
      </c>
      <c r="C30" s="0" t="s">
        <v>14</v>
      </c>
      <c r="D30" s="0" t="n">
        <v>61113</v>
      </c>
      <c r="E30" s="0" t="n">
        <v>25896</v>
      </c>
      <c r="F30" s="0" t="n">
        <f aca="false">D30-E30</f>
        <v>35217</v>
      </c>
      <c r="G30" s="0" t="n">
        <v>28520</v>
      </c>
      <c r="H30" s="0" t="n">
        <f aca="false">F30-G30</f>
        <v>6697</v>
      </c>
      <c r="I30" s="0" t="n">
        <v>61800</v>
      </c>
      <c r="J30" s="0" t="n">
        <v>28504</v>
      </c>
    </row>
    <row r="31" customFormat="false" ht="15" hidden="false" customHeight="false" outlineLevel="0" collapsed="false">
      <c r="A31" s="0" t="s">
        <v>20</v>
      </c>
      <c r="B31" s="0" t="n">
        <v>6</v>
      </c>
      <c r="C31" s="0" t="s">
        <v>15</v>
      </c>
      <c r="D31" s="0" t="n">
        <v>76363</v>
      </c>
      <c r="E31" s="0" t="n">
        <v>30757</v>
      </c>
      <c r="F31" s="0" t="n">
        <f aca="false">D31-E31</f>
        <v>45606</v>
      </c>
      <c r="G31" s="0" t="n">
        <v>22400</v>
      </c>
      <c r="H31" s="0" t="n">
        <f aca="false">F31-G31</f>
        <v>23206</v>
      </c>
      <c r="I31" s="0" t="n">
        <v>77250</v>
      </c>
      <c r="J31" s="0" t="n">
        <v>22396</v>
      </c>
    </row>
    <row r="32" customFormat="false" ht="15" hidden="false" customHeight="false" outlineLevel="0" collapsed="false">
      <c r="A32" s="0" t="s">
        <v>21</v>
      </c>
      <c r="B32" s="0" t="n">
        <v>7</v>
      </c>
      <c r="C32" s="0" t="s">
        <v>11</v>
      </c>
      <c r="D32" s="0" t="n">
        <v>191606</v>
      </c>
      <c r="E32" s="0" t="n">
        <v>80168</v>
      </c>
      <c r="F32" s="0" t="n">
        <f aca="false">D32-E32</f>
        <v>111438</v>
      </c>
      <c r="G32" s="0" t="n">
        <v>63102</v>
      </c>
      <c r="H32" s="0" t="n">
        <f aca="false">F32-G32</f>
        <v>48336</v>
      </c>
      <c r="I32" s="0" t="n">
        <v>186300</v>
      </c>
      <c r="J32" s="0" t="n">
        <v>53092</v>
      </c>
    </row>
    <row r="33" customFormat="false" ht="15" hidden="false" customHeight="false" outlineLevel="0" collapsed="false">
      <c r="A33" s="0" t="s">
        <v>21</v>
      </c>
      <c r="B33" s="0" t="n">
        <v>7</v>
      </c>
      <c r="C33" s="0" t="s">
        <v>12</v>
      </c>
      <c r="D33" s="0" t="n">
        <v>99071</v>
      </c>
      <c r="E33" s="0" t="n">
        <v>41717</v>
      </c>
      <c r="F33" s="0" t="n">
        <f aca="false">D33-E33</f>
        <v>57354</v>
      </c>
      <c r="G33" s="0" t="n">
        <v>39628</v>
      </c>
      <c r="H33" s="0" t="n">
        <f aca="false">F33-G33</f>
        <v>17726</v>
      </c>
      <c r="I33" s="0" t="n">
        <v>98325</v>
      </c>
      <c r="J33" s="0" t="n">
        <v>38798</v>
      </c>
    </row>
    <row r="34" customFormat="false" ht="15" hidden="false" customHeight="false" outlineLevel="0" collapsed="false">
      <c r="A34" s="0" t="s">
        <v>21</v>
      </c>
      <c r="B34" s="0" t="n">
        <v>7</v>
      </c>
      <c r="C34" s="0" t="s">
        <v>13</v>
      </c>
      <c r="D34" s="0" t="n">
        <v>148000</v>
      </c>
      <c r="E34" s="0" t="n">
        <v>63131</v>
      </c>
      <c r="F34" s="0" t="n">
        <f aca="false">D34-E34</f>
        <v>84869</v>
      </c>
      <c r="G34" s="0" t="n">
        <v>47571</v>
      </c>
      <c r="H34" s="0" t="n">
        <f aca="false">F34-G34</f>
        <v>37298</v>
      </c>
      <c r="I34" s="0" t="n">
        <v>144900</v>
      </c>
      <c r="J34" s="0" t="n">
        <v>45945</v>
      </c>
    </row>
    <row r="35" customFormat="false" ht="15" hidden="false" customHeight="false" outlineLevel="0" collapsed="false">
      <c r="A35" s="0" t="s">
        <v>21</v>
      </c>
      <c r="B35" s="0" t="n">
        <v>7</v>
      </c>
      <c r="C35" s="0" t="s">
        <v>14</v>
      </c>
      <c r="D35" s="0" t="n">
        <v>61587</v>
      </c>
      <c r="E35" s="0" t="n">
        <v>23522</v>
      </c>
      <c r="F35" s="0" t="n">
        <f aca="false">D35-E35</f>
        <v>38065</v>
      </c>
      <c r="G35" s="0" t="n">
        <v>28741</v>
      </c>
      <c r="H35" s="0" t="n">
        <f aca="false">F35-G35</f>
        <v>9324</v>
      </c>
      <c r="I35" s="0" t="n">
        <v>62100</v>
      </c>
      <c r="J35" s="0" t="n">
        <v>28588</v>
      </c>
    </row>
    <row r="36" customFormat="false" ht="15" hidden="false" customHeight="false" outlineLevel="0" collapsed="false">
      <c r="A36" s="0" t="s">
        <v>21</v>
      </c>
      <c r="B36" s="0" t="n">
        <v>7</v>
      </c>
      <c r="C36" s="0" t="s">
        <v>15</v>
      </c>
      <c r="D36" s="0" t="n">
        <v>77308</v>
      </c>
      <c r="E36" s="0" t="n">
        <v>30619</v>
      </c>
      <c r="F36" s="0" t="n">
        <f aca="false">D36-E36</f>
        <v>46689</v>
      </c>
      <c r="G36" s="0" t="n">
        <v>22677</v>
      </c>
      <c r="H36" s="0" t="n">
        <f aca="false">F36-G36</f>
        <v>24012</v>
      </c>
      <c r="I36" s="0" t="n">
        <v>77625</v>
      </c>
      <c r="J36" s="0" t="n">
        <v>22462</v>
      </c>
    </row>
    <row r="37" customFormat="false" ht="15" hidden="false" customHeight="false" outlineLevel="0" collapsed="false">
      <c r="A37" s="0" t="s">
        <v>22</v>
      </c>
      <c r="B37" s="0" t="n">
        <v>8</v>
      </c>
      <c r="C37" s="0" t="s">
        <v>11</v>
      </c>
      <c r="D37" s="0" t="n">
        <v>185499</v>
      </c>
      <c r="E37" s="0" t="n">
        <v>80984</v>
      </c>
      <c r="F37" s="0" t="n">
        <f aca="false">D37-E37</f>
        <v>104515</v>
      </c>
      <c r="G37" s="0" t="n">
        <v>61091</v>
      </c>
      <c r="H37" s="0" t="n">
        <f aca="false">F37-G37</f>
        <v>43424</v>
      </c>
      <c r="I37" s="0" t="n">
        <v>187200</v>
      </c>
      <c r="J37" s="0" t="n">
        <v>53248</v>
      </c>
    </row>
    <row r="38" customFormat="false" ht="15" hidden="false" customHeight="false" outlineLevel="0" collapsed="false">
      <c r="A38" s="0" t="s">
        <v>22</v>
      </c>
      <c r="B38" s="0" t="n">
        <v>8</v>
      </c>
      <c r="C38" s="0" t="s">
        <v>12</v>
      </c>
      <c r="D38" s="0" t="n">
        <v>101063</v>
      </c>
      <c r="E38" s="0" t="n">
        <v>40312</v>
      </c>
      <c r="F38" s="0" t="n">
        <f aca="false">D38-E38</f>
        <v>60751</v>
      </c>
      <c r="G38" s="0" t="n">
        <v>40425</v>
      </c>
      <c r="H38" s="0" t="n">
        <f aca="false">F38-G38</f>
        <v>20326</v>
      </c>
      <c r="I38" s="0" t="n">
        <v>98800</v>
      </c>
      <c r="J38" s="0" t="n">
        <v>38912</v>
      </c>
    </row>
    <row r="39" customFormat="false" ht="15" hidden="false" customHeight="false" outlineLevel="0" collapsed="false">
      <c r="A39" s="0" t="s">
        <v>22</v>
      </c>
      <c r="B39" s="0" t="n">
        <v>8</v>
      </c>
      <c r="C39" s="0" t="s">
        <v>13</v>
      </c>
      <c r="D39" s="0" t="n">
        <v>147388</v>
      </c>
      <c r="E39" s="0" t="n">
        <v>59506</v>
      </c>
      <c r="F39" s="0" t="n">
        <f aca="false">D39-E39</f>
        <v>87882</v>
      </c>
      <c r="G39" s="0" t="n">
        <v>47375</v>
      </c>
      <c r="H39" s="0" t="n">
        <f aca="false">F39-G39</f>
        <v>40507</v>
      </c>
      <c r="I39" s="0" t="n">
        <v>145600</v>
      </c>
      <c r="J39" s="0" t="n">
        <v>46080</v>
      </c>
    </row>
    <row r="40" customFormat="false" ht="15" hidden="false" customHeight="false" outlineLevel="0" collapsed="false">
      <c r="A40" s="0" t="s">
        <v>22</v>
      </c>
      <c r="B40" s="0" t="n">
        <v>8</v>
      </c>
      <c r="C40" s="0" t="s">
        <v>14</v>
      </c>
      <c r="D40" s="0" t="n">
        <v>63944</v>
      </c>
      <c r="E40" s="0" t="n">
        <v>26059</v>
      </c>
      <c r="F40" s="0" t="n">
        <f aca="false">D40-E40</f>
        <v>37885</v>
      </c>
      <c r="G40" s="0" t="n">
        <v>29840</v>
      </c>
      <c r="H40" s="0" t="n">
        <f aca="false">F40-G40</f>
        <v>8045</v>
      </c>
      <c r="I40" s="0" t="n">
        <v>62400</v>
      </c>
      <c r="J40" s="0" t="n">
        <v>28672</v>
      </c>
    </row>
    <row r="41" customFormat="false" ht="15" hidden="false" customHeight="false" outlineLevel="0" collapsed="false">
      <c r="A41" s="0" t="s">
        <v>22</v>
      </c>
      <c r="B41" s="0" t="n">
        <v>8</v>
      </c>
      <c r="C41" s="0" t="s">
        <v>15</v>
      </c>
      <c r="D41" s="0" t="n">
        <v>77493</v>
      </c>
      <c r="E41" s="0" t="n">
        <v>30594</v>
      </c>
      <c r="F41" s="0" t="n">
        <f aca="false">D41-E41</f>
        <v>46899</v>
      </c>
      <c r="G41" s="0" t="n">
        <v>22731</v>
      </c>
      <c r="H41" s="0" t="n">
        <f aca="false">F41-G41</f>
        <v>24168</v>
      </c>
      <c r="I41" s="0" t="n">
        <v>78000</v>
      </c>
      <c r="J41" s="0" t="n">
        <v>22528</v>
      </c>
    </row>
    <row r="42" customFormat="false" ht="15" hidden="false" customHeight="false" outlineLevel="0" collapsed="false">
      <c r="A42" s="0" t="s">
        <v>23</v>
      </c>
      <c r="B42" s="0" t="n">
        <v>9</v>
      </c>
      <c r="C42" s="0" t="s">
        <v>11</v>
      </c>
      <c r="D42" s="0" t="n">
        <v>189552</v>
      </c>
      <c r="E42" s="0" t="n">
        <v>75018</v>
      </c>
      <c r="F42" s="0" t="n">
        <f aca="false">D42-E42</f>
        <v>114534</v>
      </c>
      <c r="G42" s="0" t="n">
        <v>62426</v>
      </c>
      <c r="H42" s="0" t="n">
        <f aca="false">F42-G42</f>
        <v>52108</v>
      </c>
      <c r="I42" s="0" t="n">
        <v>188100</v>
      </c>
      <c r="J42" s="0" t="n">
        <v>53404</v>
      </c>
    </row>
    <row r="43" customFormat="false" ht="15" hidden="false" customHeight="false" outlineLevel="0" collapsed="false">
      <c r="A43" s="0" t="s">
        <v>23</v>
      </c>
      <c r="B43" s="0" t="n">
        <v>9</v>
      </c>
      <c r="C43" s="0" t="s">
        <v>12</v>
      </c>
      <c r="D43" s="0" t="n">
        <v>100152</v>
      </c>
      <c r="E43" s="0" t="n">
        <v>43453</v>
      </c>
      <c r="F43" s="0" t="n">
        <f aca="false">D43-E43</f>
        <v>56699</v>
      </c>
      <c r="G43" s="0" t="n">
        <v>40061</v>
      </c>
      <c r="H43" s="0" t="n">
        <f aca="false">F43-G43</f>
        <v>16638</v>
      </c>
      <c r="I43" s="0" t="n">
        <v>99275</v>
      </c>
      <c r="J43" s="0" t="n">
        <v>39026</v>
      </c>
    </row>
    <row r="44" customFormat="false" ht="15" hidden="false" customHeight="false" outlineLevel="0" collapsed="false">
      <c r="A44" s="0" t="s">
        <v>23</v>
      </c>
      <c r="B44" s="0" t="n">
        <v>9</v>
      </c>
      <c r="C44" s="0" t="s">
        <v>13</v>
      </c>
      <c r="D44" s="0" t="n">
        <v>146296</v>
      </c>
      <c r="E44" s="0" t="n">
        <v>57518</v>
      </c>
      <c r="F44" s="0" t="n">
        <f aca="false">D44-E44</f>
        <v>88778</v>
      </c>
      <c r="G44" s="0" t="n">
        <v>47024</v>
      </c>
      <c r="H44" s="0" t="n">
        <f aca="false">F44-G44</f>
        <v>41754</v>
      </c>
      <c r="I44" s="0" t="n">
        <v>146300</v>
      </c>
      <c r="J44" s="0" t="n">
        <v>46215</v>
      </c>
    </row>
    <row r="45" customFormat="false" ht="15" hidden="false" customHeight="false" outlineLevel="0" collapsed="false">
      <c r="A45" s="0" t="s">
        <v>23</v>
      </c>
      <c r="B45" s="0" t="n">
        <v>9</v>
      </c>
      <c r="C45" s="0" t="s">
        <v>14</v>
      </c>
      <c r="D45" s="0" t="n">
        <v>64493</v>
      </c>
      <c r="E45" s="0" t="n">
        <v>26479</v>
      </c>
      <c r="F45" s="0" t="n">
        <f aca="false">D45-E45</f>
        <v>38014</v>
      </c>
      <c r="G45" s="0" t="n">
        <v>30097</v>
      </c>
      <c r="H45" s="0" t="n">
        <f aca="false">F45-G45</f>
        <v>7917</v>
      </c>
      <c r="I45" s="0" t="n">
        <v>62700</v>
      </c>
      <c r="J45" s="0" t="n">
        <v>28756</v>
      </c>
    </row>
    <row r="46" customFormat="false" ht="15" hidden="false" customHeight="false" outlineLevel="0" collapsed="false">
      <c r="A46" s="0" t="s">
        <v>23</v>
      </c>
      <c r="B46" s="0" t="n">
        <v>9</v>
      </c>
      <c r="C46" s="0" t="s">
        <v>15</v>
      </c>
      <c r="D46" s="0" t="n">
        <v>77216</v>
      </c>
      <c r="E46" s="0" t="n">
        <v>29560</v>
      </c>
      <c r="F46" s="0" t="n">
        <f aca="false">D46-E46</f>
        <v>47656</v>
      </c>
      <c r="G46" s="0" t="n">
        <v>22650</v>
      </c>
      <c r="H46" s="0" t="n">
        <f aca="false">F46-G46</f>
        <v>25006</v>
      </c>
      <c r="I46" s="0" t="n">
        <v>78375</v>
      </c>
      <c r="J46" s="0" t="n">
        <v>22594</v>
      </c>
    </row>
    <row r="47" customFormat="false" ht="15" hidden="false" customHeight="false" outlineLevel="0" collapsed="false">
      <c r="A47" s="0" t="s">
        <v>24</v>
      </c>
      <c r="B47" s="0" t="n">
        <v>10</v>
      </c>
      <c r="C47" s="0" t="s">
        <v>11</v>
      </c>
      <c r="D47" s="0" t="n">
        <v>186387</v>
      </c>
      <c r="E47" s="0" t="n">
        <v>77844</v>
      </c>
      <c r="F47" s="0" t="n">
        <f aca="false">D47-E47</f>
        <v>108543</v>
      </c>
      <c r="G47" s="0" t="n">
        <v>61383</v>
      </c>
      <c r="H47" s="0" t="n">
        <f aca="false">F47-G47</f>
        <v>47160</v>
      </c>
      <c r="I47" s="0" t="n">
        <v>189000</v>
      </c>
      <c r="J47" s="0" t="n">
        <v>53560</v>
      </c>
    </row>
    <row r="48" customFormat="false" ht="15" hidden="false" customHeight="false" outlineLevel="0" collapsed="false">
      <c r="A48" s="0" t="s">
        <v>24</v>
      </c>
      <c r="B48" s="0" t="n">
        <v>10</v>
      </c>
      <c r="C48" s="0" t="s">
        <v>12</v>
      </c>
      <c r="D48" s="0" t="n">
        <v>101612</v>
      </c>
      <c r="E48" s="0" t="n">
        <v>41186</v>
      </c>
      <c r="F48" s="0" t="n">
        <f aca="false">D48-E48</f>
        <v>60426</v>
      </c>
      <c r="G48" s="0" t="n">
        <v>40645</v>
      </c>
      <c r="H48" s="0" t="n">
        <f aca="false">F48-G48</f>
        <v>19781</v>
      </c>
      <c r="I48" s="0" t="n">
        <v>99750</v>
      </c>
      <c r="J48" s="0" t="n">
        <v>39140</v>
      </c>
    </row>
    <row r="49" customFormat="false" ht="15" hidden="false" customHeight="false" outlineLevel="0" collapsed="false">
      <c r="A49" s="0" t="s">
        <v>24</v>
      </c>
      <c r="B49" s="0" t="n">
        <v>10</v>
      </c>
      <c r="C49" s="0" t="s">
        <v>13</v>
      </c>
      <c r="D49" s="0" t="n">
        <v>144645</v>
      </c>
      <c r="E49" s="0" t="n">
        <v>58277</v>
      </c>
      <c r="F49" s="0" t="n">
        <f aca="false">D49-E49</f>
        <v>86368</v>
      </c>
      <c r="G49" s="0" t="n">
        <v>46493</v>
      </c>
      <c r="H49" s="0" t="n">
        <f aca="false">F49-G49</f>
        <v>39875</v>
      </c>
      <c r="I49" s="0" t="n">
        <v>147000</v>
      </c>
      <c r="J49" s="0" t="n">
        <v>46350</v>
      </c>
    </row>
    <row r="50" customFormat="false" ht="15" hidden="false" customHeight="false" outlineLevel="0" collapsed="false">
      <c r="A50" s="0" t="s">
        <v>24</v>
      </c>
      <c r="B50" s="0" t="n">
        <v>10</v>
      </c>
      <c r="C50" s="0" t="s">
        <v>14</v>
      </c>
      <c r="D50" s="0" t="n">
        <v>64788</v>
      </c>
      <c r="E50" s="0" t="n">
        <v>26676</v>
      </c>
      <c r="F50" s="0" t="n">
        <f aca="false">D50-E50</f>
        <v>38112</v>
      </c>
      <c r="G50" s="0" t="n">
        <v>30235</v>
      </c>
      <c r="H50" s="0" t="n">
        <f aca="false">F50-G50</f>
        <v>7877</v>
      </c>
      <c r="I50" s="0" t="n">
        <v>63000</v>
      </c>
      <c r="J50" s="0" t="n">
        <v>28840</v>
      </c>
    </row>
    <row r="51" customFormat="false" ht="15" hidden="false" customHeight="false" outlineLevel="0" collapsed="false">
      <c r="A51" s="0" t="s">
        <v>24</v>
      </c>
      <c r="B51" s="0" t="n">
        <v>10</v>
      </c>
      <c r="C51" s="0" t="s">
        <v>15</v>
      </c>
      <c r="D51" s="0" t="n">
        <v>80892</v>
      </c>
      <c r="E51" s="0" t="n">
        <v>34917</v>
      </c>
      <c r="F51" s="0" t="n">
        <f aca="false">D51-E51</f>
        <v>45975</v>
      </c>
      <c r="G51" s="0" t="n">
        <v>23728</v>
      </c>
      <c r="H51" s="0" t="n">
        <f aca="false">F51-G51</f>
        <v>22247</v>
      </c>
      <c r="I51" s="0" t="n">
        <v>78750</v>
      </c>
      <c r="J51" s="0" t="n">
        <v>22660</v>
      </c>
    </row>
    <row r="52" customFormat="false" ht="15" hidden="false" customHeight="false" outlineLevel="0" collapsed="false">
      <c r="A52" s="0" t="s">
        <v>25</v>
      </c>
      <c r="B52" s="0" t="n">
        <v>11</v>
      </c>
      <c r="C52" s="0" t="s">
        <v>11</v>
      </c>
      <c r="D52" s="0" t="n">
        <v>186403</v>
      </c>
      <c r="E52" s="0" t="n">
        <v>78894</v>
      </c>
      <c r="F52" s="0" t="n">
        <f aca="false">D52-E52</f>
        <v>107509</v>
      </c>
      <c r="G52" s="0" t="n">
        <v>61389</v>
      </c>
      <c r="H52" s="0" t="n">
        <f aca="false">F52-G52</f>
        <v>46120</v>
      </c>
      <c r="I52" s="0" t="n">
        <v>189900</v>
      </c>
      <c r="J52" s="0" t="n">
        <v>53716</v>
      </c>
    </row>
    <row r="53" customFormat="false" ht="15" hidden="false" customHeight="false" outlineLevel="0" collapsed="false">
      <c r="A53" s="0" t="s">
        <v>25</v>
      </c>
      <c r="B53" s="0" t="n">
        <v>11</v>
      </c>
      <c r="C53" s="0" t="s">
        <v>12</v>
      </c>
      <c r="D53" s="0" t="n">
        <v>101563</v>
      </c>
      <c r="E53" s="0" t="n">
        <v>41866</v>
      </c>
      <c r="F53" s="0" t="n">
        <f aca="false">D53-E53</f>
        <v>59697</v>
      </c>
      <c r="G53" s="0" t="n">
        <v>40625</v>
      </c>
      <c r="H53" s="0" t="n">
        <f aca="false">F53-G53</f>
        <v>19072</v>
      </c>
      <c r="I53" s="0" t="n">
        <v>100225</v>
      </c>
      <c r="J53" s="0" t="n">
        <v>39254</v>
      </c>
    </row>
    <row r="54" customFormat="false" ht="15" hidden="false" customHeight="false" outlineLevel="0" collapsed="false">
      <c r="A54" s="0" t="s">
        <v>25</v>
      </c>
      <c r="B54" s="0" t="n">
        <v>11</v>
      </c>
      <c r="C54" s="0" t="s">
        <v>13</v>
      </c>
      <c r="D54" s="0" t="n">
        <v>146768</v>
      </c>
      <c r="E54" s="0" t="n">
        <v>61416</v>
      </c>
      <c r="F54" s="0" t="n">
        <f aca="false">D54-E54</f>
        <v>85352</v>
      </c>
      <c r="G54" s="0" t="n">
        <v>47175</v>
      </c>
      <c r="H54" s="0" t="n">
        <f aca="false">F54-G54</f>
        <v>38177</v>
      </c>
      <c r="I54" s="0" t="n">
        <v>147700</v>
      </c>
      <c r="J54" s="0" t="n">
        <v>46485</v>
      </c>
    </row>
    <row r="55" customFormat="false" ht="15" hidden="false" customHeight="false" outlineLevel="0" collapsed="false">
      <c r="A55" s="0" t="s">
        <v>25</v>
      </c>
      <c r="B55" s="0" t="n">
        <v>11</v>
      </c>
      <c r="C55" s="0" t="s">
        <v>14</v>
      </c>
      <c r="D55" s="0" t="n">
        <v>62435</v>
      </c>
      <c r="E55" s="0" t="n">
        <v>25354</v>
      </c>
      <c r="F55" s="0" t="n">
        <f aca="false">D55-E55</f>
        <v>37081</v>
      </c>
      <c r="G55" s="0" t="n">
        <v>29136</v>
      </c>
      <c r="H55" s="0" t="n">
        <f aca="false">F55-G55</f>
        <v>7945</v>
      </c>
      <c r="I55" s="0" t="n">
        <v>63300</v>
      </c>
      <c r="J55" s="0" t="n">
        <v>28924</v>
      </c>
    </row>
    <row r="56" customFormat="false" ht="15" hidden="false" customHeight="false" outlineLevel="0" collapsed="false">
      <c r="A56" s="0" t="s">
        <v>25</v>
      </c>
      <c r="B56" s="0" t="n">
        <v>11</v>
      </c>
      <c r="C56" s="0" t="s">
        <v>15</v>
      </c>
      <c r="D56" s="0" t="n">
        <v>79326</v>
      </c>
      <c r="E56" s="0" t="n">
        <v>34684</v>
      </c>
      <c r="F56" s="0" t="n">
        <f aca="false">D56-E56</f>
        <v>44642</v>
      </c>
      <c r="G56" s="0" t="n">
        <v>23269</v>
      </c>
      <c r="H56" s="0" t="n">
        <f aca="false">F56-G56</f>
        <v>21373</v>
      </c>
      <c r="I56" s="0" t="n">
        <v>79125</v>
      </c>
      <c r="J56" s="0" t="n">
        <v>22726</v>
      </c>
    </row>
    <row r="57" customFormat="false" ht="15" hidden="false" customHeight="false" outlineLevel="0" collapsed="false">
      <c r="A57" s="0" t="s">
        <v>26</v>
      </c>
      <c r="B57" s="0" t="n">
        <v>12</v>
      </c>
      <c r="C57" s="0" t="s">
        <v>11</v>
      </c>
      <c r="D57" s="0" t="n">
        <v>195083</v>
      </c>
      <c r="E57" s="0" t="n">
        <v>77215</v>
      </c>
      <c r="F57" s="0" t="n">
        <f aca="false">D57-E57</f>
        <v>117868</v>
      </c>
      <c r="G57" s="0" t="n">
        <v>64247</v>
      </c>
      <c r="H57" s="0" t="n">
        <f aca="false">F57-G57</f>
        <v>53621</v>
      </c>
      <c r="I57" s="0" t="n">
        <v>190800</v>
      </c>
      <c r="J57" s="0" t="n">
        <v>53872</v>
      </c>
    </row>
    <row r="58" customFormat="false" ht="15" hidden="false" customHeight="false" outlineLevel="0" collapsed="false">
      <c r="A58" s="0" t="s">
        <v>26</v>
      </c>
      <c r="B58" s="0" t="n">
        <v>12</v>
      </c>
      <c r="C58" s="0" t="s">
        <v>12</v>
      </c>
      <c r="D58" s="0" t="n">
        <v>101178</v>
      </c>
      <c r="E58" s="0" t="n">
        <v>39532</v>
      </c>
      <c r="F58" s="0" t="n">
        <f aca="false">D58-E58</f>
        <v>61646</v>
      </c>
      <c r="G58" s="0" t="n">
        <v>40471</v>
      </c>
      <c r="H58" s="0" t="n">
        <f aca="false">F58-G58</f>
        <v>21175</v>
      </c>
      <c r="I58" s="0" t="n">
        <v>100700</v>
      </c>
      <c r="J58" s="0" t="n">
        <v>39368</v>
      </c>
    </row>
    <row r="59" customFormat="false" ht="15" hidden="false" customHeight="false" outlineLevel="0" collapsed="false">
      <c r="A59" s="0" t="s">
        <v>26</v>
      </c>
      <c r="B59" s="0" t="n">
        <v>12</v>
      </c>
      <c r="C59" s="0" t="s">
        <v>13</v>
      </c>
      <c r="D59" s="0" t="n">
        <v>151988</v>
      </c>
      <c r="E59" s="0" t="n">
        <v>65694</v>
      </c>
      <c r="F59" s="0" t="n">
        <f aca="false">D59-E59</f>
        <v>86294</v>
      </c>
      <c r="G59" s="0" t="n">
        <v>48853</v>
      </c>
      <c r="H59" s="0" t="n">
        <f aca="false">F59-G59</f>
        <v>37441</v>
      </c>
      <c r="I59" s="0" t="n">
        <v>148400</v>
      </c>
      <c r="J59" s="0" t="n">
        <v>46620</v>
      </c>
    </row>
    <row r="60" customFormat="false" ht="15" hidden="false" customHeight="false" outlineLevel="0" collapsed="false">
      <c r="A60" s="0" t="s">
        <v>26</v>
      </c>
      <c r="B60" s="0" t="n">
        <v>12</v>
      </c>
      <c r="C60" s="0" t="s">
        <v>14</v>
      </c>
      <c r="D60" s="0" t="n">
        <v>63295</v>
      </c>
      <c r="E60" s="0" t="n">
        <v>26479</v>
      </c>
      <c r="F60" s="0" t="n">
        <f aca="false">D60-E60</f>
        <v>36816</v>
      </c>
      <c r="G60" s="0" t="n">
        <v>29538</v>
      </c>
      <c r="H60" s="0" t="n">
        <f aca="false">F60-G60</f>
        <v>7278</v>
      </c>
      <c r="I60" s="0" t="n">
        <v>63600</v>
      </c>
      <c r="J60" s="0" t="n">
        <v>29008</v>
      </c>
    </row>
    <row r="61" customFormat="false" ht="15" hidden="false" customHeight="false" outlineLevel="0" collapsed="false">
      <c r="A61" s="0" t="s">
        <v>26</v>
      </c>
      <c r="B61" s="0" t="n">
        <v>12</v>
      </c>
      <c r="C61" s="0" t="s">
        <v>15</v>
      </c>
      <c r="D61" s="0" t="n">
        <v>80284</v>
      </c>
      <c r="E61" s="0" t="n">
        <v>31244</v>
      </c>
      <c r="F61" s="0" t="n">
        <f aca="false">D61-E61</f>
        <v>49040</v>
      </c>
      <c r="G61" s="0" t="n">
        <v>23550</v>
      </c>
      <c r="H61" s="0" t="n">
        <f aca="false">F61-G61</f>
        <v>25490</v>
      </c>
      <c r="I61" s="0" t="n">
        <v>79500</v>
      </c>
      <c r="J61" s="0" t="n">
        <v>22792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0" min="8" style="0" width="16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8</v>
      </c>
      <c r="K1" s="1" t="s">
        <v>34</v>
      </c>
      <c r="L1" s="1" t="s">
        <v>9</v>
      </c>
      <c r="M1" s="1" t="s">
        <v>35</v>
      </c>
    </row>
    <row r="2" customFormat="false" ht="15" hidden="false" customHeight="false" outlineLevel="0" collapsed="false">
      <c r="A2" s="0" t="s">
        <v>10</v>
      </c>
      <c r="B2" s="0" t="n">
        <v>1</v>
      </c>
      <c r="C2" s="0" t="n">
        <f aca="false">SUMIF('Financial Data'!A:A,A2,'Financial Data'!D:D)</f>
        <v>558225</v>
      </c>
      <c r="D2" s="0" t="n">
        <f aca="false">SUMIF('Financial Data'!A:A,A2,'Financial Data'!E:E)</f>
        <v>219937</v>
      </c>
      <c r="E2" s="0" t="n">
        <f aca="false">C2-D2</f>
        <v>338288</v>
      </c>
      <c r="F2" s="0" t="n">
        <f aca="false">SUMIF('Financial Data'!A:A,A2,'Financial Data'!G:G)</f>
        <v>187781</v>
      </c>
      <c r="G2" s="0" t="n">
        <f aca="false">E2-F2</f>
        <v>150507</v>
      </c>
      <c r="H2" s="0" t="n">
        <f aca="false">E2/C2</f>
        <v>0.606006538582113</v>
      </c>
      <c r="I2" s="0" t="n">
        <f aca="false">G2/C2</f>
        <v>0.269617089883112</v>
      </c>
      <c r="J2" s="0" t="n">
        <f aca="false">SUMIF('Financial Data'!A:A,A2,'Financial Data'!I:I)</f>
        <v>552750</v>
      </c>
      <c r="K2" s="0" t="n">
        <f aca="false">(C2-J2)/J2</f>
        <v>0.00990502035278155</v>
      </c>
      <c r="L2" s="0" t="n">
        <f aca="false">SUMIF('Financial Data'!A:A,A2,'Financial Data'!J:J)</f>
        <v>185555</v>
      </c>
      <c r="M2" s="0" t="n">
        <f aca="false">(F2-L2)/L2</f>
        <v>0.0119964431031231</v>
      </c>
    </row>
    <row r="3" customFormat="false" ht="15" hidden="false" customHeight="false" outlineLevel="0" collapsed="false">
      <c r="A3" s="0" t="s">
        <v>16</v>
      </c>
      <c r="B3" s="0" t="n">
        <v>2</v>
      </c>
      <c r="C3" s="0" t="n">
        <f aca="false">SUMIF('Financial Data'!A:A,A3,'Financial Data'!D:D)</f>
        <v>554839</v>
      </c>
      <c r="D3" s="0" t="n">
        <f aca="false">SUMIF('Financial Data'!A:A,A3,'Financial Data'!E:E)</f>
        <v>224259</v>
      </c>
      <c r="E3" s="0" t="n">
        <f aca="false">C3-D3</f>
        <v>330580</v>
      </c>
      <c r="F3" s="0" t="n">
        <f aca="false">SUMIF('Financial Data'!A:A,A3,'Financial Data'!G:G)</f>
        <v>186429</v>
      </c>
      <c r="G3" s="0" t="n">
        <f aca="false">E3-F3</f>
        <v>144151</v>
      </c>
      <c r="H3" s="0" t="n">
        <f aca="false">E3/C3</f>
        <v>0.595812478935331</v>
      </c>
      <c r="I3" s="0" t="n">
        <f aca="false">G3/C3</f>
        <v>0.259806898938251</v>
      </c>
      <c r="J3" s="0" t="n">
        <f aca="false">SUMIF('Financial Data'!A:A,A3,'Financial Data'!I:I)</f>
        <v>555500</v>
      </c>
      <c r="K3" s="0" t="n">
        <f aca="false">(C3-J3)/J3</f>
        <v>-0.00118991899189919</v>
      </c>
      <c r="L3" s="0" t="n">
        <f aca="false">SUMIF('Financial Data'!A:A,A3,'Financial Data'!J:J)</f>
        <v>186110</v>
      </c>
      <c r="M3" s="0" t="n">
        <f aca="false">(F3-L3)/L3</f>
        <v>0.0017140400838214</v>
      </c>
    </row>
    <row r="4" customFormat="false" ht="15" hidden="false" customHeight="false" outlineLevel="0" collapsed="false">
      <c r="A4" s="0" t="s">
        <v>17</v>
      </c>
      <c r="B4" s="0" t="n">
        <v>3</v>
      </c>
      <c r="C4" s="0" t="n">
        <f aca="false">SUMIF('Financial Data'!A:A,A4,'Financial Data'!D:D)</f>
        <v>566274</v>
      </c>
      <c r="D4" s="0" t="n">
        <f aca="false">SUMIF('Financial Data'!A:A,A4,'Financial Data'!E:E)</f>
        <v>230002</v>
      </c>
      <c r="E4" s="0" t="n">
        <f aca="false">C4-D4</f>
        <v>336272</v>
      </c>
      <c r="F4" s="0" t="n">
        <f aca="false">SUMIF('Financial Data'!A:A,A4,'Financial Data'!G:G)</f>
        <v>190032</v>
      </c>
      <c r="G4" s="0" t="n">
        <f aca="false">E4-F4</f>
        <v>146240</v>
      </c>
      <c r="H4" s="0" t="n">
        <f aca="false">E4/C4</f>
        <v>0.593832667577886</v>
      </c>
      <c r="I4" s="0" t="n">
        <f aca="false">G4/C4</f>
        <v>0.258249539975348</v>
      </c>
      <c r="J4" s="0" t="n">
        <f aca="false">SUMIF('Financial Data'!A:A,A4,'Financial Data'!I:I)</f>
        <v>558250</v>
      </c>
      <c r="K4" s="0" t="n">
        <f aca="false">(C4-J4)/J4</f>
        <v>0.0143734885803851</v>
      </c>
      <c r="L4" s="0" t="n">
        <f aca="false">SUMIF('Financial Data'!A:A,A4,'Financial Data'!J:J)</f>
        <v>186665</v>
      </c>
      <c r="M4" s="0" t="n">
        <f aca="false">(F4-L4)/L4</f>
        <v>0.0180376610505451</v>
      </c>
    </row>
    <row r="5" customFormat="false" ht="15" hidden="false" customHeight="false" outlineLevel="0" collapsed="false">
      <c r="A5" s="0" t="s">
        <v>18</v>
      </c>
      <c r="B5" s="0" t="n">
        <v>4</v>
      </c>
      <c r="C5" s="0" t="n">
        <f aca="false">SUMIF('Financial Data'!A:A,A5,'Financial Data'!D:D)</f>
        <v>568180</v>
      </c>
      <c r="D5" s="0" t="n">
        <f aca="false">SUMIF('Financial Data'!A:A,A5,'Financial Data'!E:E)</f>
        <v>239556</v>
      </c>
      <c r="E5" s="0" t="n">
        <f aca="false">C5-D5</f>
        <v>328624</v>
      </c>
      <c r="F5" s="0" t="n">
        <f aca="false">SUMIF('Financial Data'!A:A,A5,'Financial Data'!G:G)</f>
        <v>191079</v>
      </c>
      <c r="G5" s="0" t="n">
        <f aca="false">E5-F5</f>
        <v>137545</v>
      </c>
      <c r="H5" s="0" t="n">
        <f aca="false">E5/C5</f>
        <v>0.578380090816291</v>
      </c>
      <c r="I5" s="0" t="n">
        <f aca="false">G5/C5</f>
        <v>0.242079974655919</v>
      </c>
      <c r="J5" s="0" t="n">
        <f aca="false">SUMIF('Financial Data'!A:A,A5,'Financial Data'!I:I)</f>
        <v>561000</v>
      </c>
      <c r="K5" s="0" t="n">
        <f aca="false">(C5-J5)/J5</f>
        <v>0.0127985739750446</v>
      </c>
      <c r="L5" s="0" t="n">
        <f aca="false">SUMIF('Financial Data'!A:A,A5,'Financial Data'!J:J)</f>
        <v>187220</v>
      </c>
      <c r="M5" s="0" t="n">
        <f aca="false">(F5-L5)/L5</f>
        <v>0.020612114090375</v>
      </c>
    </row>
    <row r="6" customFormat="false" ht="15" hidden="false" customHeight="false" outlineLevel="0" collapsed="false">
      <c r="A6" s="0" t="s">
        <v>19</v>
      </c>
      <c r="B6" s="0" t="n">
        <v>5</v>
      </c>
      <c r="C6" s="0" t="n">
        <f aca="false">SUMIF('Financial Data'!A:A,A6,'Financial Data'!D:D)</f>
        <v>563420</v>
      </c>
      <c r="D6" s="0" t="n">
        <f aca="false">SUMIF('Financial Data'!A:A,A6,'Financial Data'!E:E)</f>
        <v>220977</v>
      </c>
      <c r="E6" s="0" t="n">
        <f aca="false">C6-D6</f>
        <v>342443</v>
      </c>
      <c r="F6" s="0" t="n">
        <f aca="false">SUMIF('Financial Data'!A:A,A6,'Financial Data'!G:G)</f>
        <v>189210</v>
      </c>
      <c r="G6" s="0" t="n">
        <f aca="false">E6-F6</f>
        <v>153233</v>
      </c>
      <c r="H6" s="0" t="n">
        <f aca="false">E6/C6</f>
        <v>0.607793475559973</v>
      </c>
      <c r="I6" s="0" t="n">
        <f aca="false">G6/C6</f>
        <v>0.271969401157218</v>
      </c>
      <c r="J6" s="0" t="n">
        <f aca="false">SUMIF('Financial Data'!A:A,A6,'Financial Data'!I:I)</f>
        <v>563750</v>
      </c>
      <c r="K6" s="0" t="n">
        <f aca="false">(C6-J6)/J6</f>
        <v>-0.000585365853658537</v>
      </c>
      <c r="L6" s="0" t="n">
        <f aca="false">SUMIF('Financial Data'!A:A,A6,'Financial Data'!J:J)</f>
        <v>187775</v>
      </c>
      <c r="M6" s="0" t="n">
        <f aca="false">(F6-L6)/L6</f>
        <v>0.00764212488350419</v>
      </c>
    </row>
    <row r="7" customFormat="false" ht="15" hidden="false" customHeight="false" outlineLevel="0" collapsed="false">
      <c r="A7" s="0" t="s">
        <v>20</v>
      </c>
      <c r="B7" s="0" t="n">
        <v>6</v>
      </c>
      <c r="C7" s="0" t="n">
        <f aca="false">SUMIF('Financial Data'!A:A,A7,'Financial Data'!D:D)</f>
        <v>565762</v>
      </c>
      <c r="D7" s="0" t="n">
        <f aca="false">SUMIF('Financial Data'!A:A,A7,'Financial Data'!E:E)</f>
        <v>232525</v>
      </c>
      <c r="E7" s="0" t="n">
        <f aca="false">C7-D7</f>
        <v>333237</v>
      </c>
      <c r="F7" s="0" t="n">
        <f aca="false">SUMIF('Financial Data'!A:A,A7,'Financial Data'!G:G)</f>
        <v>197685</v>
      </c>
      <c r="G7" s="0" t="n">
        <f aca="false">E7-F7</f>
        <v>135552</v>
      </c>
      <c r="H7" s="0" t="n">
        <f aca="false">E7/C7</f>
        <v>0.589005624273104</v>
      </c>
      <c r="I7" s="0" t="n">
        <f aca="false">G7/C7</f>
        <v>0.23959191320732</v>
      </c>
      <c r="J7" s="0" t="n">
        <f aca="false">SUMIF('Financial Data'!A:A,A7,'Financial Data'!I:I)</f>
        <v>566500</v>
      </c>
      <c r="K7" s="0" t="n">
        <f aca="false">(C7-J7)/J7</f>
        <v>-0.0013027360988526</v>
      </c>
      <c r="L7" s="0" t="n">
        <f aca="false">SUMIF('Financial Data'!A:A,A7,'Financial Data'!J:J)</f>
        <v>188330</v>
      </c>
      <c r="M7" s="0" t="n">
        <f aca="false">(F7-L7)/L7</f>
        <v>0.0496734455477088</v>
      </c>
    </row>
    <row r="8" customFormat="false" ht="15" hidden="false" customHeight="false" outlineLevel="0" collapsed="false">
      <c r="A8" s="0" t="s">
        <v>21</v>
      </c>
      <c r="B8" s="0" t="n">
        <v>7</v>
      </c>
      <c r="C8" s="0" t="n">
        <f aca="false">SUMIF('Financial Data'!A:A,A8,'Financial Data'!D:D)</f>
        <v>577572</v>
      </c>
      <c r="D8" s="0" t="n">
        <f aca="false">SUMIF('Financial Data'!A:A,A8,'Financial Data'!E:E)</f>
        <v>239157</v>
      </c>
      <c r="E8" s="0" t="n">
        <f aca="false">C8-D8</f>
        <v>338415</v>
      </c>
      <c r="F8" s="0" t="n">
        <f aca="false">SUMIF('Financial Data'!A:A,A8,'Financial Data'!G:G)</f>
        <v>201719</v>
      </c>
      <c r="G8" s="0" t="n">
        <f aca="false">E8-F8</f>
        <v>136696</v>
      </c>
      <c r="H8" s="0" t="n">
        <f aca="false">E8/C8</f>
        <v>0.585926949367352</v>
      </c>
      <c r="I8" s="0" t="n">
        <f aca="false">G8/C8</f>
        <v>0.236673522954714</v>
      </c>
      <c r="J8" s="0" t="n">
        <f aca="false">SUMIF('Financial Data'!A:A,A8,'Financial Data'!I:I)</f>
        <v>569250</v>
      </c>
      <c r="K8" s="0" t="n">
        <f aca="false">(C8-J8)/J8</f>
        <v>0.0146192358366271</v>
      </c>
      <c r="L8" s="0" t="n">
        <f aca="false">SUMIF('Financial Data'!A:A,A8,'Financial Data'!J:J)</f>
        <v>188885</v>
      </c>
      <c r="M8" s="0" t="n">
        <f aca="false">(F8-L8)/L8</f>
        <v>0.0679461047727453</v>
      </c>
    </row>
    <row r="9" customFormat="false" ht="15" hidden="false" customHeight="false" outlineLevel="0" collapsed="false">
      <c r="A9" s="0" t="s">
        <v>22</v>
      </c>
      <c r="B9" s="0" t="n">
        <v>8</v>
      </c>
      <c r="C9" s="0" t="n">
        <f aca="false">SUMIF('Financial Data'!A:A,A9,'Financial Data'!D:D)</f>
        <v>575387</v>
      </c>
      <c r="D9" s="0" t="n">
        <f aca="false">SUMIF('Financial Data'!A:A,A9,'Financial Data'!E:E)</f>
        <v>237455</v>
      </c>
      <c r="E9" s="0" t="n">
        <f aca="false">C9-D9</f>
        <v>337932</v>
      </c>
      <c r="F9" s="0" t="n">
        <f aca="false">SUMIF('Financial Data'!A:A,A9,'Financial Data'!G:G)</f>
        <v>201462</v>
      </c>
      <c r="G9" s="0" t="n">
        <f aca="false">E9-F9</f>
        <v>136470</v>
      </c>
      <c r="H9" s="0" t="n">
        <f aca="false">E9/C9</f>
        <v>0.587312539212739</v>
      </c>
      <c r="I9" s="0" t="n">
        <f aca="false">G9/C9</f>
        <v>0.237179498320261</v>
      </c>
      <c r="J9" s="0" t="n">
        <f aca="false">SUMIF('Financial Data'!A:A,A9,'Financial Data'!I:I)</f>
        <v>572000</v>
      </c>
      <c r="K9" s="0" t="n">
        <f aca="false">(C9-J9)/J9</f>
        <v>0.00592132867132867</v>
      </c>
      <c r="L9" s="0" t="n">
        <f aca="false">SUMIF('Financial Data'!A:A,A9,'Financial Data'!J:J)</f>
        <v>189440</v>
      </c>
      <c r="M9" s="0" t="n">
        <f aca="false">(F9-L9)/L9</f>
        <v>0.0634607263513514</v>
      </c>
    </row>
    <row r="10" customFormat="false" ht="15" hidden="false" customHeight="false" outlineLevel="0" collapsed="false">
      <c r="A10" s="0" t="s">
        <v>23</v>
      </c>
      <c r="B10" s="0" t="n">
        <v>9</v>
      </c>
      <c r="C10" s="0" t="n">
        <f aca="false">SUMIF('Financial Data'!A:A,A10,'Financial Data'!D:D)</f>
        <v>577709</v>
      </c>
      <c r="D10" s="0" t="n">
        <f aca="false">SUMIF('Financial Data'!A:A,A10,'Financial Data'!E:E)</f>
        <v>232028</v>
      </c>
      <c r="E10" s="0" t="n">
        <f aca="false">C10-D10</f>
        <v>345681</v>
      </c>
      <c r="F10" s="0" t="n">
        <f aca="false">SUMIF('Financial Data'!A:A,A10,'Financial Data'!G:G)</f>
        <v>202258</v>
      </c>
      <c r="G10" s="0" t="n">
        <f aca="false">E10-F10</f>
        <v>143423</v>
      </c>
      <c r="H10" s="0" t="n">
        <f aca="false">E10/C10</f>
        <v>0.598365266942353</v>
      </c>
      <c r="I10" s="0" t="n">
        <f aca="false">G10/C10</f>
        <v>0.248261668071642</v>
      </c>
      <c r="J10" s="0" t="n">
        <f aca="false">SUMIF('Financial Data'!A:A,A10,'Financial Data'!I:I)</f>
        <v>574750</v>
      </c>
      <c r="K10" s="0" t="n">
        <f aca="false">(C10-J10)/J10</f>
        <v>0.00514832535885167</v>
      </c>
      <c r="L10" s="0" t="n">
        <f aca="false">SUMIF('Financial Data'!A:A,A10,'Financial Data'!J:J)</f>
        <v>189995</v>
      </c>
      <c r="M10" s="0" t="n">
        <f aca="false">(F10-L10)/L10</f>
        <v>0.0645438037843101</v>
      </c>
    </row>
    <row r="11" customFormat="false" ht="15" hidden="false" customHeight="false" outlineLevel="0" collapsed="false">
      <c r="A11" s="0" t="s">
        <v>24</v>
      </c>
      <c r="B11" s="0" t="n">
        <v>10</v>
      </c>
      <c r="C11" s="0" t="n">
        <f aca="false">SUMIF('Financial Data'!A:A,A11,'Financial Data'!D:D)</f>
        <v>578324</v>
      </c>
      <c r="D11" s="0" t="n">
        <f aca="false">SUMIF('Financial Data'!A:A,A11,'Financial Data'!E:E)</f>
        <v>238900</v>
      </c>
      <c r="E11" s="0" t="n">
        <f aca="false">C11-D11</f>
        <v>339424</v>
      </c>
      <c r="F11" s="0" t="n">
        <f aca="false">SUMIF('Financial Data'!A:A,A11,'Financial Data'!G:G)</f>
        <v>202484</v>
      </c>
      <c r="G11" s="0" t="n">
        <f aca="false">E11-F11</f>
        <v>136940</v>
      </c>
      <c r="H11" s="0" t="n">
        <f aca="false">E11/C11</f>
        <v>0.586909759926961</v>
      </c>
      <c r="I11" s="0" t="n">
        <f aca="false">G11/C11</f>
        <v>0.23678768302889</v>
      </c>
      <c r="J11" s="0" t="n">
        <f aca="false">SUMIF('Financial Data'!A:A,A11,'Financial Data'!I:I)</f>
        <v>577500</v>
      </c>
      <c r="K11" s="0" t="n">
        <f aca="false">(C11-J11)/J11</f>
        <v>0.00142683982683983</v>
      </c>
      <c r="L11" s="0" t="n">
        <f aca="false">SUMIF('Financial Data'!A:A,A11,'Financial Data'!J:J)</f>
        <v>190550</v>
      </c>
      <c r="M11" s="0" t="n">
        <f aca="false">(F11-L11)/L11</f>
        <v>0.0626292311729205</v>
      </c>
    </row>
    <row r="12" customFormat="false" ht="15" hidden="false" customHeight="false" outlineLevel="0" collapsed="false">
      <c r="A12" s="0" t="s">
        <v>25</v>
      </c>
      <c r="B12" s="0" t="n">
        <v>11</v>
      </c>
      <c r="C12" s="0" t="n">
        <f aca="false">SUMIF('Financial Data'!A:A,A12,'Financial Data'!D:D)</f>
        <v>576495</v>
      </c>
      <c r="D12" s="0" t="n">
        <f aca="false">SUMIF('Financial Data'!A:A,A12,'Financial Data'!E:E)</f>
        <v>242214</v>
      </c>
      <c r="E12" s="0" t="n">
        <f aca="false">C12-D12</f>
        <v>334281</v>
      </c>
      <c r="F12" s="0" t="n">
        <f aca="false">SUMIF('Financial Data'!A:A,A12,'Financial Data'!G:G)</f>
        <v>201594</v>
      </c>
      <c r="G12" s="0" t="n">
        <f aca="false">E12-F12</f>
        <v>132687</v>
      </c>
      <c r="H12" s="0" t="n">
        <f aca="false">E12/C12</f>
        <v>0.579850649181693</v>
      </c>
      <c r="I12" s="0" t="n">
        <f aca="false">G12/C12</f>
        <v>0.23016157989228</v>
      </c>
      <c r="J12" s="0" t="n">
        <f aca="false">SUMIF('Financial Data'!A:A,A12,'Financial Data'!I:I)</f>
        <v>580250</v>
      </c>
      <c r="K12" s="0" t="n">
        <f aca="false">(C12-J12)/J12</f>
        <v>-0.00647134855665661</v>
      </c>
      <c r="L12" s="0" t="n">
        <f aca="false">SUMIF('Financial Data'!A:A,A12,'Financial Data'!J:J)</f>
        <v>191105</v>
      </c>
      <c r="M12" s="0" t="n">
        <f aca="false">(F12-L12)/L12</f>
        <v>0.0548860574029984</v>
      </c>
    </row>
    <row r="13" customFormat="false" ht="15" hidden="false" customHeight="false" outlineLevel="0" collapsed="false">
      <c r="A13" s="0" t="s">
        <v>26</v>
      </c>
      <c r="B13" s="0" t="n">
        <v>12</v>
      </c>
      <c r="C13" s="0" t="n">
        <f aca="false">SUMIF('Financial Data'!A:A,A13,'Financial Data'!D:D)</f>
        <v>591828</v>
      </c>
      <c r="D13" s="0" t="n">
        <f aca="false">SUMIF('Financial Data'!A:A,A13,'Financial Data'!E:E)</f>
        <v>240164</v>
      </c>
      <c r="E13" s="0" t="n">
        <f aca="false">C13-D13</f>
        <v>351664</v>
      </c>
      <c r="F13" s="0" t="n">
        <f aca="false">SUMIF('Financial Data'!A:A,A13,'Financial Data'!G:G)</f>
        <v>206659</v>
      </c>
      <c r="G13" s="0" t="n">
        <f aca="false">E13-F13</f>
        <v>145005</v>
      </c>
      <c r="H13" s="0" t="n">
        <f aca="false">E13/C13</f>
        <v>0.59419966611921</v>
      </c>
      <c r="I13" s="0" t="n">
        <f aca="false">G13/C13</f>
        <v>0.245012064315984</v>
      </c>
      <c r="J13" s="0" t="n">
        <f aca="false">SUMIF('Financial Data'!A:A,A13,'Financial Data'!I:I)</f>
        <v>583000</v>
      </c>
      <c r="K13" s="0" t="n">
        <f aca="false">(C13-J13)/J13</f>
        <v>0.0151423670668954</v>
      </c>
      <c r="L13" s="0" t="n">
        <f aca="false">SUMIF('Financial Data'!A:A,A13,'Financial Data'!J:J)</f>
        <v>191660</v>
      </c>
      <c r="M13" s="0" t="n">
        <f aca="false">(F13-L13)/L13</f>
        <v>0.0782583742043202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2026-03-23T20:38:57Z</dcterms:created>
  <dc:creator>openpyxl</dc:creator>
  <dc:description/>
  <dc:language>en-US</dc:language>
  <cp:lastModifiedBy/>
  <dcterms:modified xsi:type="dcterms:W3CDTF">2026-03-23T20:38:57Z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